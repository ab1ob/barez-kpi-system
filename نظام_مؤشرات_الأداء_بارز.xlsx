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bud\Downloads\"/>
    </mc:Choice>
  </mc:AlternateContent>
  <xr:revisionPtr revIDLastSave="0" documentId="13_ncr:1_{66B22C36-D5F5-4C94-A8FA-1FFE050DE944}" xr6:coauthVersionLast="47" xr6:coauthVersionMax="47" xr10:uidLastSave="{00000000-0000-0000-0000-000000000000}"/>
  <bookViews>
    <workbookView xWindow="-98" yWindow="-98" windowWidth="19396" windowHeight="11475" tabRatio="500" firstSheet="7" activeTab="9" xr2:uid="{00000000-000D-0000-FFFF-FFFF00000000}"/>
  </bookViews>
  <sheets>
    <sheet name="لوحة القيادة" sheetId="1" r:id="rId1"/>
    <sheet name="المنهجية" sheetId="2" r:id="rId2"/>
    <sheet name="دليل المؤشرات" sheetId="3" r:id="rId3"/>
    <sheet name="التسويق والمبيعات" sheetId="4" r:id="rId4"/>
    <sheet name="استقطاب المواهب" sheetId="5" r:id="rId5"/>
    <sheet name="التعلم والتطوير" sheetId="6" r:id="rId6"/>
    <sheet name="نجاح العملاء" sheetId="7" r:id="rId7"/>
    <sheet name="تطوير البرمجيات" sheetId="8" r:id="rId8"/>
    <sheet name="المالية والمحاسبة" sheetId="9" r:id="rId9"/>
    <sheet name="قاعدة البيانات" sheetId="10" r:id="rId10"/>
    <sheet name="بيانات الرسوم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11" l="1"/>
  <c r="C6" i="11"/>
  <c r="C5" i="11"/>
  <c r="C4" i="11"/>
  <c r="C3" i="11"/>
  <c r="C2" i="11"/>
  <c r="D152" i="10"/>
  <c r="G152" i="10" s="1"/>
  <c r="C152" i="10"/>
  <c r="B152" i="10"/>
  <c r="A152" i="10"/>
  <c r="G151" i="10"/>
  <c r="F151" i="10"/>
  <c r="E151" i="10"/>
  <c r="D151" i="10"/>
  <c r="C151" i="10"/>
  <c r="B151" i="10"/>
  <c r="A151" i="10"/>
  <c r="D150" i="10"/>
  <c r="E150" i="10" s="1"/>
  <c r="C150" i="10"/>
  <c r="B150" i="10"/>
  <c r="A150" i="10"/>
  <c r="D149" i="10"/>
  <c r="G149" i="10" s="1"/>
  <c r="C149" i="10"/>
  <c r="B149" i="10"/>
  <c r="A149" i="10"/>
  <c r="G148" i="10"/>
  <c r="F148" i="10"/>
  <c r="E148" i="10"/>
  <c r="D148" i="10"/>
  <c r="C148" i="10"/>
  <c r="B148" i="10"/>
  <c r="A148" i="10" s="1"/>
  <c r="D147" i="10"/>
  <c r="G147" i="10" s="1"/>
  <c r="C147" i="10"/>
  <c r="B147" i="10"/>
  <c r="A147" i="10"/>
  <c r="D146" i="10"/>
  <c r="C146" i="10"/>
  <c r="B146" i="10"/>
  <c r="A146" i="10"/>
  <c r="G145" i="10"/>
  <c r="D145" i="10"/>
  <c r="F145" i="10" s="1"/>
  <c r="C145" i="10"/>
  <c r="B145" i="10"/>
  <c r="A145" i="10" s="1"/>
  <c r="G144" i="10"/>
  <c r="F144" i="10"/>
  <c r="D144" i="10"/>
  <c r="E144" i="10" s="1"/>
  <c r="C144" i="10"/>
  <c r="B144" i="10"/>
  <c r="A144" i="10"/>
  <c r="C143" i="10"/>
  <c r="B143" i="10"/>
  <c r="C142" i="10"/>
  <c r="B142" i="10"/>
  <c r="C141" i="10"/>
  <c r="B141" i="10"/>
  <c r="C140" i="10"/>
  <c r="B140" i="10"/>
  <c r="C139" i="10"/>
  <c r="B139" i="10"/>
  <c r="C138" i="10"/>
  <c r="B138" i="10"/>
  <c r="C137" i="10"/>
  <c r="B137" i="10"/>
  <c r="C136" i="10"/>
  <c r="B136" i="10"/>
  <c r="D135" i="10"/>
  <c r="G135" i="10" s="1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C129" i="10"/>
  <c r="B129" i="10"/>
  <c r="C128" i="10"/>
  <c r="B128" i="10"/>
  <c r="G127" i="10"/>
  <c r="F127" i="10"/>
  <c r="E127" i="10"/>
  <c r="D127" i="10"/>
  <c r="C127" i="10"/>
  <c r="B127" i="10"/>
  <c r="A127" i="10"/>
  <c r="D126" i="10"/>
  <c r="G126" i="10" s="1"/>
  <c r="C126" i="10"/>
  <c r="B126" i="10"/>
  <c r="A126" i="10"/>
  <c r="D125" i="10"/>
  <c r="C125" i="10"/>
  <c r="B125" i="10"/>
  <c r="A125" i="10"/>
  <c r="G124" i="10"/>
  <c r="F124" i="10"/>
  <c r="E124" i="10"/>
  <c r="D124" i="10"/>
  <c r="C124" i="10"/>
  <c r="B124" i="10"/>
  <c r="A124" i="10" s="1"/>
  <c r="D123" i="10"/>
  <c r="G123" i="10" s="1"/>
  <c r="C123" i="10"/>
  <c r="B123" i="10"/>
  <c r="A123" i="10"/>
  <c r="D122" i="10"/>
  <c r="F122" i="10" s="1"/>
  <c r="C122" i="10"/>
  <c r="B122" i="10"/>
  <c r="A122" i="10"/>
  <c r="G121" i="10"/>
  <c r="F121" i="10"/>
  <c r="D121" i="10"/>
  <c r="E121" i="10" s="1"/>
  <c r="C121" i="10"/>
  <c r="B121" i="10"/>
  <c r="A121" i="10" s="1"/>
  <c r="G120" i="10"/>
  <c r="F120" i="10"/>
  <c r="D120" i="10"/>
  <c r="E120" i="10" s="1"/>
  <c r="C120" i="10"/>
  <c r="B120" i="10"/>
  <c r="A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D102" i="10"/>
  <c r="C102" i="10"/>
  <c r="B102" i="10"/>
  <c r="A102" i="10"/>
  <c r="D101" i="10"/>
  <c r="C101" i="10"/>
  <c r="B101" i="10"/>
  <c r="A101" i="10"/>
  <c r="G100" i="10"/>
  <c r="F100" i="10"/>
  <c r="E100" i="10"/>
  <c r="D100" i="10"/>
  <c r="C100" i="10"/>
  <c r="B100" i="10"/>
  <c r="A100" i="10" s="1"/>
  <c r="D99" i="10"/>
  <c r="C99" i="10"/>
  <c r="B99" i="10"/>
  <c r="A99" i="10"/>
  <c r="G98" i="10"/>
  <c r="E98" i="10"/>
  <c r="D98" i="10"/>
  <c r="F98" i="10" s="1"/>
  <c r="C98" i="10"/>
  <c r="B98" i="10"/>
  <c r="A98" i="10"/>
  <c r="D97" i="10"/>
  <c r="C97" i="10"/>
  <c r="B97" i="10"/>
  <c r="A97" i="10" s="1"/>
  <c r="G96" i="10"/>
  <c r="F96" i="10"/>
  <c r="D96" i="10"/>
  <c r="E96" i="10" s="1"/>
  <c r="C96" i="10"/>
  <c r="B96" i="10"/>
  <c r="A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D86" i="10"/>
  <c r="E86" i="10" s="1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G77" i="10"/>
  <c r="D77" i="10"/>
  <c r="C77" i="10"/>
  <c r="B77" i="10"/>
  <c r="A77" i="10"/>
  <c r="G76" i="10"/>
  <c r="F76" i="10"/>
  <c r="E76" i="10"/>
  <c r="D76" i="10"/>
  <c r="C76" i="10"/>
  <c r="B76" i="10"/>
  <c r="A76" i="10" s="1"/>
  <c r="F75" i="10"/>
  <c r="E75" i="10"/>
  <c r="D75" i="10"/>
  <c r="G75" i="10" s="1"/>
  <c r="C75" i="10"/>
  <c r="B75" i="10"/>
  <c r="A75" i="10"/>
  <c r="D74" i="10"/>
  <c r="C74" i="10"/>
  <c r="B74" i="10"/>
  <c r="A74" i="10"/>
  <c r="G73" i="10"/>
  <c r="F73" i="10"/>
  <c r="D73" i="10"/>
  <c r="E73" i="10" s="1"/>
  <c r="C73" i="10"/>
  <c r="B73" i="10"/>
  <c r="A73" i="10" s="1"/>
  <c r="G72" i="10"/>
  <c r="F72" i="10"/>
  <c r="D72" i="10"/>
  <c r="E72" i="10" s="1"/>
  <c r="C72" i="10"/>
  <c r="B72" i="10"/>
  <c r="A72" i="10"/>
  <c r="G71" i="10"/>
  <c r="F71" i="10"/>
  <c r="D71" i="10"/>
  <c r="E71" i="10" s="1"/>
  <c r="C71" i="10"/>
  <c r="B71" i="10"/>
  <c r="A71" i="10"/>
  <c r="C70" i="10"/>
  <c r="B70" i="10"/>
  <c r="A70" i="10" s="1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A55" i="10" s="1"/>
  <c r="D54" i="10"/>
  <c r="C54" i="10"/>
  <c r="B54" i="10"/>
  <c r="C53" i="10"/>
  <c r="B53" i="10"/>
  <c r="G52" i="10"/>
  <c r="F52" i="10"/>
  <c r="E52" i="10"/>
  <c r="D52" i="10"/>
  <c r="C52" i="10"/>
  <c r="B52" i="10"/>
  <c r="A52" i="10" s="1"/>
  <c r="F51" i="10"/>
  <c r="E51" i="10"/>
  <c r="D51" i="10"/>
  <c r="G51" i="10" s="1"/>
  <c r="C51" i="10"/>
  <c r="B51" i="10"/>
  <c r="A51" i="10"/>
  <c r="D50" i="10"/>
  <c r="F50" i="10" s="1"/>
  <c r="C50" i="10"/>
  <c r="B50" i="10"/>
  <c r="A50" i="10"/>
  <c r="D49" i="10"/>
  <c r="G49" i="10" s="1"/>
  <c r="C49" i="10"/>
  <c r="B49" i="10"/>
  <c r="A49" i="10" s="1"/>
  <c r="G48" i="10"/>
  <c r="F48" i="10"/>
  <c r="D48" i="10"/>
  <c r="E48" i="10" s="1"/>
  <c r="C48" i="10"/>
  <c r="B48" i="10"/>
  <c r="A48" i="10"/>
  <c r="D47" i="10"/>
  <c r="G47" i="10" s="1"/>
  <c r="C47" i="10"/>
  <c r="B47" i="10"/>
  <c r="A47" i="10" s="1"/>
  <c r="D46" i="10"/>
  <c r="C46" i="10"/>
  <c r="B46" i="10"/>
  <c r="A46" i="10"/>
  <c r="C45" i="10"/>
  <c r="B45" i="10"/>
  <c r="C44" i="10"/>
  <c r="B44" i="10"/>
  <c r="E43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D33" i="10"/>
  <c r="E33" i="10" s="1"/>
  <c r="C33" i="10"/>
  <c r="B33" i="10"/>
  <c r="C32" i="10"/>
  <c r="B32" i="10"/>
  <c r="C31" i="10"/>
  <c r="B31" i="10"/>
  <c r="C30" i="10"/>
  <c r="B30" i="10"/>
  <c r="C29" i="10"/>
  <c r="B29" i="10"/>
  <c r="C28" i="10"/>
  <c r="B28" i="10"/>
  <c r="D27" i="10"/>
  <c r="C27" i="10"/>
  <c r="B27" i="10"/>
  <c r="A27" i="10"/>
  <c r="D26" i="10"/>
  <c r="F26" i="10" s="1"/>
  <c r="C26" i="10"/>
  <c r="B26" i="10"/>
  <c r="A26" i="10"/>
  <c r="E25" i="10"/>
  <c r="D25" i="10"/>
  <c r="C25" i="10"/>
  <c r="B25" i="10"/>
  <c r="A25" i="10" s="1"/>
  <c r="G24" i="10"/>
  <c r="F24" i="10"/>
  <c r="E24" i="10"/>
  <c r="D24" i="10"/>
  <c r="C24" i="10"/>
  <c r="B24" i="10"/>
  <c r="A24" i="10"/>
  <c r="F23" i="10"/>
  <c r="E23" i="10"/>
  <c r="D23" i="10"/>
  <c r="G23" i="10" s="1"/>
  <c r="C23" i="10"/>
  <c r="B23" i="10"/>
  <c r="A23" i="10"/>
  <c r="D22" i="10"/>
  <c r="C22" i="10"/>
  <c r="B22" i="10"/>
  <c r="A22" i="10"/>
  <c r="D21" i="10"/>
  <c r="C21" i="10"/>
  <c r="B21" i="10"/>
  <c r="A21" i="10" s="1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A11" i="10" s="1"/>
  <c r="C10" i="10"/>
  <c r="B10" i="10"/>
  <c r="C9" i="10"/>
  <c r="B9" i="10"/>
  <c r="A9" i="10" s="1"/>
  <c r="D8" i="10"/>
  <c r="G8" i="10" s="1"/>
  <c r="C8" i="10"/>
  <c r="B8" i="10"/>
  <c r="C7" i="10"/>
  <c r="B7" i="10"/>
  <c r="C6" i="10"/>
  <c r="B6" i="10"/>
  <c r="A6" i="10"/>
  <c r="C5" i="10"/>
  <c r="B5" i="10"/>
  <c r="C4" i="10"/>
  <c r="B4" i="10"/>
  <c r="A131" i="10" s="1"/>
  <c r="C3" i="10"/>
  <c r="B3" i="10"/>
  <c r="A3" i="10"/>
  <c r="P30" i="9"/>
  <c r="O28" i="9"/>
  <c r="P28" i="9" s="1"/>
  <c r="N28" i="9"/>
  <c r="M28" i="9"/>
  <c r="L28" i="9"/>
  <c r="K28" i="9"/>
  <c r="J28" i="9"/>
  <c r="I28" i="9"/>
  <c r="O27" i="9"/>
  <c r="P27" i="9" s="1"/>
  <c r="N27" i="9"/>
  <c r="M27" i="9"/>
  <c r="L27" i="9"/>
  <c r="K27" i="9"/>
  <c r="J27" i="9"/>
  <c r="I27" i="9"/>
  <c r="O26" i="9"/>
  <c r="P26" i="9" s="1"/>
  <c r="N26" i="9"/>
  <c r="M26" i="9"/>
  <c r="L26" i="9"/>
  <c r="K26" i="9"/>
  <c r="J26" i="9"/>
  <c r="I26" i="9"/>
  <c r="O25" i="9"/>
  <c r="P25" i="9" s="1"/>
  <c r="N25" i="9"/>
  <c r="M25" i="9"/>
  <c r="L25" i="9"/>
  <c r="K25" i="9"/>
  <c r="J25" i="9"/>
  <c r="I25" i="9"/>
  <c r="O24" i="9"/>
  <c r="P24" i="9" s="1"/>
  <c r="N24" i="9"/>
  <c r="M24" i="9"/>
  <c r="L24" i="9"/>
  <c r="K24" i="9"/>
  <c r="J24" i="9"/>
  <c r="I24" i="9"/>
  <c r="O23" i="9"/>
  <c r="P23" i="9" s="1"/>
  <c r="N23" i="9"/>
  <c r="M23" i="9"/>
  <c r="L23" i="9"/>
  <c r="K23" i="9"/>
  <c r="J23" i="9"/>
  <c r="I23" i="9"/>
  <c r="O22" i="9"/>
  <c r="P22" i="9" s="1"/>
  <c r="N22" i="9"/>
  <c r="M22" i="9"/>
  <c r="L22" i="9"/>
  <c r="K22" i="9"/>
  <c r="J22" i="9"/>
  <c r="I22" i="9"/>
  <c r="O21" i="9"/>
  <c r="P21" i="9" s="1"/>
  <c r="N21" i="9"/>
  <c r="M21" i="9"/>
  <c r="L21" i="9"/>
  <c r="K21" i="9"/>
  <c r="J21" i="9"/>
  <c r="I21" i="9"/>
  <c r="O20" i="9"/>
  <c r="P20" i="9" s="1"/>
  <c r="N20" i="9"/>
  <c r="M20" i="9"/>
  <c r="L20" i="9"/>
  <c r="K20" i="9"/>
  <c r="J20" i="9"/>
  <c r="I20" i="9"/>
  <c r="N19" i="9"/>
  <c r="M19" i="9"/>
  <c r="L19" i="9"/>
  <c r="K19" i="9"/>
  <c r="J19" i="9"/>
  <c r="I19" i="9"/>
  <c r="N18" i="9"/>
  <c r="M18" i="9"/>
  <c r="L18" i="9"/>
  <c r="K18" i="9"/>
  <c r="J18" i="9"/>
  <c r="I18" i="9"/>
  <c r="N17" i="9"/>
  <c r="M17" i="9"/>
  <c r="O17" i="9" s="1"/>
  <c r="L17" i="9"/>
  <c r="K17" i="9"/>
  <c r="J17" i="9"/>
  <c r="I17" i="9"/>
  <c r="N16" i="9"/>
  <c r="M16" i="9"/>
  <c r="L16" i="9"/>
  <c r="K16" i="9"/>
  <c r="J16" i="9"/>
  <c r="I16" i="9"/>
  <c r="O16" i="9" s="1"/>
  <c r="D140" i="10" s="1"/>
  <c r="N15" i="9"/>
  <c r="M15" i="9"/>
  <c r="L15" i="9"/>
  <c r="K15" i="9"/>
  <c r="O15" i="9" s="1"/>
  <c r="J15" i="9"/>
  <c r="I15" i="9"/>
  <c r="N14" i="9"/>
  <c r="M14" i="9"/>
  <c r="O14" i="9" s="1"/>
  <c r="P14" i="9" s="1"/>
  <c r="L14" i="9"/>
  <c r="K14" i="9"/>
  <c r="J14" i="9"/>
  <c r="I14" i="9"/>
  <c r="O13" i="9"/>
  <c r="D137" i="10" s="1"/>
  <c r="N13" i="9"/>
  <c r="M13" i="9"/>
  <c r="L13" i="9"/>
  <c r="K13" i="9"/>
  <c r="J13" i="9"/>
  <c r="I13" i="9"/>
  <c r="N12" i="9"/>
  <c r="M12" i="9"/>
  <c r="L12" i="9"/>
  <c r="K12" i="9"/>
  <c r="O12" i="9" s="1"/>
  <c r="J12" i="9"/>
  <c r="I12" i="9"/>
  <c r="N11" i="9"/>
  <c r="M11" i="9"/>
  <c r="O11" i="9" s="1"/>
  <c r="P11" i="9" s="1"/>
  <c r="L11" i="9"/>
  <c r="K11" i="9"/>
  <c r="J11" i="9"/>
  <c r="I11" i="9"/>
  <c r="N10" i="9"/>
  <c r="M10" i="9"/>
  <c r="L10" i="9"/>
  <c r="O10" i="9" s="1"/>
  <c r="K10" i="9"/>
  <c r="J10" i="9"/>
  <c r="I10" i="9"/>
  <c r="N9" i="9"/>
  <c r="M9" i="9"/>
  <c r="L9" i="9"/>
  <c r="K9" i="9"/>
  <c r="O9" i="9" s="1"/>
  <c r="P9" i="9" s="1"/>
  <c r="J9" i="9"/>
  <c r="I9" i="9"/>
  <c r="N8" i="9"/>
  <c r="O8" i="9" s="1"/>
  <c r="M8" i="9"/>
  <c r="L8" i="9"/>
  <c r="K8" i="9"/>
  <c r="J8" i="9"/>
  <c r="I8" i="9"/>
  <c r="N7" i="9"/>
  <c r="M7" i="9"/>
  <c r="L7" i="9"/>
  <c r="K7" i="9"/>
  <c r="J7" i="9"/>
  <c r="O7" i="9" s="1"/>
  <c r="I7" i="9"/>
  <c r="N6" i="9"/>
  <c r="M6" i="9"/>
  <c r="L6" i="9"/>
  <c r="K6" i="9"/>
  <c r="O6" i="9" s="1"/>
  <c r="J6" i="9"/>
  <c r="I6" i="9"/>
  <c r="N5" i="9"/>
  <c r="M5" i="9"/>
  <c r="O5" i="9" s="1"/>
  <c r="L5" i="9"/>
  <c r="K5" i="9"/>
  <c r="J5" i="9"/>
  <c r="I5" i="9"/>
  <c r="N4" i="9"/>
  <c r="M4" i="9"/>
  <c r="L4" i="9"/>
  <c r="K4" i="9"/>
  <c r="J4" i="9"/>
  <c r="I4" i="9"/>
  <c r="O4" i="9" s="1"/>
  <c r="N3" i="9"/>
  <c r="M3" i="9"/>
  <c r="L3" i="9"/>
  <c r="K3" i="9"/>
  <c r="J3" i="9"/>
  <c r="I3" i="9"/>
  <c r="H3" i="9"/>
  <c r="G3" i="9"/>
  <c r="F3" i="9"/>
  <c r="E3" i="9"/>
  <c r="D3" i="9"/>
  <c r="C3" i="9"/>
  <c r="P30" i="8"/>
  <c r="P28" i="8"/>
  <c r="O28" i="8"/>
  <c r="N28" i="8"/>
  <c r="M28" i="8"/>
  <c r="L28" i="8"/>
  <c r="K28" i="8"/>
  <c r="J28" i="8"/>
  <c r="I28" i="8"/>
  <c r="O27" i="8"/>
  <c r="P27" i="8" s="1"/>
  <c r="N27" i="8"/>
  <c r="M27" i="8"/>
  <c r="L27" i="8"/>
  <c r="K27" i="8"/>
  <c r="J27" i="8"/>
  <c r="I27" i="8"/>
  <c r="O26" i="8"/>
  <c r="P26" i="8" s="1"/>
  <c r="N26" i="8"/>
  <c r="M26" i="8"/>
  <c r="L26" i="8"/>
  <c r="K26" i="8"/>
  <c r="J26" i="8"/>
  <c r="I26" i="8"/>
  <c r="P25" i="8"/>
  <c r="O25" i="8"/>
  <c r="N25" i="8"/>
  <c r="M25" i="8"/>
  <c r="L25" i="8"/>
  <c r="K25" i="8"/>
  <c r="J25" i="8"/>
  <c r="I25" i="8"/>
  <c r="O24" i="8"/>
  <c r="P24" i="8" s="1"/>
  <c r="N24" i="8"/>
  <c r="M24" i="8"/>
  <c r="L24" i="8"/>
  <c r="K24" i="8"/>
  <c r="J24" i="8"/>
  <c r="I24" i="8"/>
  <c r="O23" i="8"/>
  <c r="P23" i="8" s="1"/>
  <c r="N23" i="8"/>
  <c r="M23" i="8"/>
  <c r="L23" i="8"/>
  <c r="K23" i="8"/>
  <c r="J23" i="8"/>
  <c r="I23" i="8"/>
  <c r="P22" i="8"/>
  <c r="O22" i="8"/>
  <c r="N22" i="8"/>
  <c r="M22" i="8"/>
  <c r="L22" i="8"/>
  <c r="K22" i="8"/>
  <c r="J22" i="8"/>
  <c r="I22" i="8"/>
  <c r="O21" i="8"/>
  <c r="P21" i="8" s="1"/>
  <c r="N21" i="8"/>
  <c r="M21" i="8"/>
  <c r="L21" i="8"/>
  <c r="K21" i="8"/>
  <c r="J21" i="8"/>
  <c r="I21" i="8"/>
  <c r="N20" i="8"/>
  <c r="M20" i="8"/>
  <c r="L20" i="8"/>
  <c r="K20" i="8"/>
  <c r="J20" i="8"/>
  <c r="I20" i="8"/>
  <c r="O20" i="8" s="1"/>
  <c r="P20" i="8" s="1"/>
  <c r="N19" i="8"/>
  <c r="M19" i="8"/>
  <c r="L19" i="8"/>
  <c r="K19" i="8"/>
  <c r="J19" i="8"/>
  <c r="I19" i="8"/>
  <c r="N18" i="8"/>
  <c r="M18" i="8"/>
  <c r="L18" i="8"/>
  <c r="K18" i="8"/>
  <c r="J18" i="8"/>
  <c r="O18" i="8" s="1"/>
  <c r="I18" i="8"/>
  <c r="N17" i="8"/>
  <c r="M17" i="8"/>
  <c r="L17" i="8"/>
  <c r="K17" i="8"/>
  <c r="J17" i="8"/>
  <c r="I17" i="8"/>
  <c r="O17" i="8" s="1"/>
  <c r="N16" i="8"/>
  <c r="M16" i="8"/>
  <c r="L16" i="8"/>
  <c r="K16" i="8"/>
  <c r="J16" i="8"/>
  <c r="I16" i="8"/>
  <c r="N15" i="8"/>
  <c r="M15" i="8"/>
  <c r="L15" i="8"/>
  <c r="K15" i="8"/>
  <c r="J15" i="8"/>
  <c r="I15" i="8"/>
  <c r="O15" i="8" s="1"/>
  <c r="N14" i="8"/>
  <c r="M14" i="8"/>
  <c r="L14" i="8"/>
  <c r="K14" i="8"/>
  <c r="J14" i="8"/>
  <c r="I14" i="8"/>
  <c r="N13" i="8"/>
  <c r="M13" i="8"/>
  <c r="L13" i="8"/>
  <c r="K13" i="8"/>
  <c r="J13" i="8"/>
  <c r="I13" i="8"/>
  <c r="O13" i="8" s="1"/>
  <c r="N12" i="8"/>
  <c r="M12" i="8"/>
  <c r="L12" i="8"/>
  <c r="K12" i="8"/>
  <c r="J12" i="8"/>
  <c r="I12" i="8"/>
  <c r="N11" i="8"/>
  <c r="M11" i="8"/>
  <c r="L11" i="8"/>
  <c r="K11" i="8"/>
  <c r="J11" i="8"/>
  <c r="I11" i="8"/>
  <c r="N10" i="8"/>
  <c r="M10" i="8"/>
  <c r="L10" i="8"/>
  <c r="K10" i="8"/>
  <c r="J10" i="8"/>
  <c r="I10" i="8"/>
  <c r="O9" i="8"/>
  <c r="N9" i="8"/>
  <c r="M9" i="8"/>
  <c r="L9" i="8"/>
  <c r="K9" i="8"/>
  <c r="J9" i="8"/>
  <c r="I9" i="8"/>
  <c r="N8" i="8"/>
  <c r="M8" i="8"/>
  <c r="L8" i="8"/>
  <c r="K8" i="8"/>
  <c r="J8" i="8"/>
  <c r="I8" i="8"/>
  <c r="O8" i="8" s="1"/>
  <c r="N7" i="8"/>
  <c r="M7" i="8"/>
  <c r="L7" i="8"/>
  <c r="K7" i="8"/>
  <c r="J7" i="8"/>
  <c r="I7" i="8"/>
  <c r="O7" i="8" s="1"/>
  <c r="P7" i="8" s="1"/>
  <c r="N6" i="8"/>
  <c r="M6" i="8"/>
  <c r="L6" i="8"/>
  <c r="K6" i="8"/>
  <c r="J6" i="8"/>
  <c r="O6" i="8" s="1"/>
  <c r="I6" i="8"/>
  <c r="N5" i="8"/>
  <c r="M5" i="8"/>
  <c r="L5" i="8"/>
  <c r="K5" i="8"/>
  <c r="J5" i="8"/>
  <c r="I5" i="8"/>
  <c r="N4" i="8"/>
  <c r="M4" i="8"/>
  <c r="L4" i="8"/>
  <c r="K4" i="8"/>
  <c r="J4" i="8"/>
  <c r="I4" i="8"/>
  <c r="N3" i="8"/>
  <c r="M3" i="8"/>
  <c r="L3" i="8"/>
  <c r="K3" i="8"/>
  <c r="J3" i="8"/>
  <c r="I3" i="8"/>
  <c r="H3" i="8"/>
  <c r="G3" i="8"/>
  <c r="F3" i="8"/>
  <c r="E3" i="8"/>
  <c r="D3" i="8"/>
  <c r="C3" i="8"/>
  <c r="P30" i="7"/>
  <c r="P28" i="7"/>
  <c r="O28" i="7"/>
  <c r="N28" i="7"/>
  <c r="M28" i="7"/>
  <c r="L28" i="7"/>
  <c r="K28" i="7"/>
  <c r="J28" i="7"/>
  <c r="I28" i="7"/>
  <c r="O27" i="7"/>
  <c r="P27" i="7" s="1"/>
  <c r="N27" i="7"/>
  <c r="M27" i="7"/>
  <c r="L27" i="7"/>
  <c r="K27" i="7"/>
  <c r="J27" i="7"/>
  <c r="I27" i="7"/>
  <c r="O26" i="7"/>
  <c r="P26" i="7" s="1"/>
  <c r="N26" i="7"/>
  <c r="M26" i="7"/>
  <c r="L26" i="7"/>
  <c r="K26" i="7"/>
  <c r="J26" i="7"/>
  <c r="I26" i="7"/>
  <c r="O25" i="7"/>
  <c r="P25" i="7" s="1"/>
  <c r="N25" i="7"/>
  <c r="M25" i="7"/>
  <c r="L25" i="7"/>
  <c r="K25" i="7"/>
  <c r="J25" i="7"/>
  <c r="I25" i="7"/>
  <c r="O24" i="7"/>
  <c r="P24" i="7" s="1"/>
  <c r="N24" i="7"/>
  <c r="M24" i="7"/>
  <c r="L24" i="7"/>
  <c r="K24" i="7"/>
  <c r="J24" i="7"/>
  <c r="I24" i="7"/>
  <c r="O23" i="7"/>
  <c r="P23" i="7" s="1"/>
  <c r="N23" i="7"/>
  <c r="M23" i="7"/>
  <c r="L23" i="7"/>
  <c r="K23" i="7"/>
  <c r="J23" i="7"/>
  <c r="I23" i="7"/>
  <c r="P22" i="7"/>
  <c r="O22" i="7"/>
  <c r="N22" i="7"/>
  <c r="M22" i="7"/>
  <c r="L22" i="7"/>
  <c r="K22" i="7"/>
  <c r="J22" i="7"/>
  <c r="I22" i="7"/>
  <c r="N21" i="7"/>
  <c r="M21" i="7"/>
  <c r="L21" i="7"/>
  <c r="K21" i="7"/>
  <c r="J21" i="7"/>
  <c r="O21" i="7" s="1"/>
  <c r="I21" i="7"/>
  <c r="N20" i="7"/>
  <c r="M20" i="7"/>
  <c r="L20" i="7"/>
  <c r="K20" i="7"/>
  <c r="J20" i="7"/>
  <c r="I20" i="7"/>
  <c r="O20" i="7" s="1"/>
  <c r="P20" i="7" s="1"/>
  <c r="N19" i="7"/>
  <c r="O19" i="7" s="1"/>
  <c r="M19" i="7"/>
  <c r="L19" i="7"/>
  <c r="K19" i="7"/>
  <c r="J19" i="7"/>
  <c r="I19" i="7"/>
  <c r="N18" i="7"/>
  <c r="M18" i="7"/>
  <c r="L18" i="7"/>
  <c r="K18" i="7"/>
  <c r="J18" i="7"/>
  <c r="O18" i="7" s="1"/>
  <c r="P18" i="7" s="1"/>
  <c r="I18" i="7"/>
  <c r="O17" i="7"/>
  <c r="D91" i="10" s="1"/>
  <c r="N17" i="7"/>
  <c r="M17" i="7"/>
  <c r="L17" i="7"/>
  <c r="K17" i="7"/>
  <c r="J17" i="7"/>
  <c r="I17" i="7"/>
  <c r="N16" i="7"/>
  <c r="M16" i="7"/>
  <c r="L16" i="7"/>
  <c r="K16" i="7"/>
  <c r="O16" i="7" s="1"/>
  <c r="J16" i="7"/>
  <c r="I16" i="7"/>
  <c r="N15" i="7"/>
  <c r="M15" i="7"/>
  <c r="L15" i="7"/>
  <c r="K15" i="7"/>
  <c r="J15" i="7"/>
  <c r="O15" i="7" s="1"/>
  <c r="I15" i="7"/>
  <c r="O14" i="7"/>
  <c r="D88" i="10" s="1"/>
  <c r="G88" i="10" s="1"/>
  <c r="N14" i="7"/>
  <c r="M14" i="7"/>
  <c r="L14" i="7"/>
  <c r="K14" i="7"/>
  <c r="J14" i="7"/>
  <c r="I14" i="7"/>
  <c r="N13" i="7"/>
  <c r="M13" i="7"/>
  <c r="L13" i="7"/>
  <c r="K13" i="7"/>
  <c r="O13" i="7" s="1"/>
  <c r="J13" i="7"/>
  <c r="I13" i="7"/>
  <c r="N12" i="7"/>
  <c r="M12" i="7"/>
  <c r="L12" i="7"/>
  <c r="K12" i="7"/>
  <c r="J12" i="7"/>
  <c r="O12" i="7" s="1"/>
  <c r="P12" i="7" s="1"/>
  <c r="I12" i="7"/>
  <c r="O11" i="7"/>
  <c r="D85" i="10" s="1"/>
  <c r="N11" i="7"/>
  <c r="M11" i="7"/>
  <c r="L11" i="7"/>
  <c r="K11" i="7"/>
  <c r="J11" i="7"/>
  <c r="I11" i="7"/>
  <c r="N10" i="7"/>
  <c r="M10" i="7"/>
  <c r="L10" i="7"/>
  <c r="K10" i="7"/>
  <c r="O10" i="7" s="1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O8" i="7" s="1"/>
  <c r="P7" i="7"/>
  <c r="N7" i="7"/>
  <c r="M7" i="7"/>
  <c r="L7" i="7"/>
  <c r="K7" i="7"/>
  <c r="O7" i="7" s="1"/>
  <c r="D81" i="10" s="1"/>
  <c r="J7" i="7"/>
  <c r="I7" i="7"/>
  <c r="N6" i="7"/>
  <c r="M6" i="7"/>
  <c r="L6" i="7"/>
  <c r="K6" i="7"/>
  <c r="J6" i="7"/>
  <c r="O6" i="7" s="1"/>
  <c r="P6" i="7" s="1"/>
  <c r="I6" i="7"/>
  <c r="N5" i="7"/>
  <c r="M5" i="7"/>
  <c r="L5" i="7"/>
  <c r="K5" i="7"/>
  <c r="J5" i="7"/>
  <c r="I5" i="7"/>
  <c r="O5" i="7" s="1"/>
  <c r="N4" i="7"/>
  <c r="O4" i="7" s="1"/>
  <c r="M4" i="7"/>
  <c r="L4" i="7"/>
  <c r="K4" i="7"/>
  <c r="J4" i="7"/>
  <c r="I4" i="7"/>
  <c r="N3" i="7"/>
  <c r="M3" i="7"/>
  <c r="L3" i="7"/>
  <c r="K3" i="7"/>
  <c r="J3" i="7"/>
  <c r="I3" i="7"/>
  <c r="H3" i="7"/>
  <c r="G3" i="7"/>
  <c r="F3" i="7"/>
  <c r="E3" i="7"/>
  <c r="D3" i="7"/>
  <c r="C3" i="7"/>
  <c r="P30" i="6"/>
  <c r="O28" i="6"/>
  <c r="P28" i="6" s="1"/>
  <c r="N28" i="6"/>
  <c r="M28" i="6"/>
  <c r="L28" i="6"/>
  <c r="K28" i="6"/>
  <c r="J28" i="6"/>
  <c r="I28" i="6"/>
  <c r="O27" i="6"/>
  <c r="P27" i="6" s="1"/>
  <c r="N27" i="6"/>
  <c r="M27" i="6"/>
  <c r="L27" i="6"/>
  <c r="K27" i="6"/>
  <c r="J27" i="6"/>
  <c r="I27" i="6"/>
  <c r="P26" i="6"/>
  <c r="O26" i="6"/>
  <c r="N26" i="6"/>
  <c r="M26" i="6"/>
  <c r="L26" i="6"/>
  <c r="K26" i="6"/>
  <c r="J26" i="6"/>
  <c r="I26" i="6"/>
  <c r="O25" i="6"/>
  <c r="P25" i="6" s="1"/>
  <c r="N25" i="6"/>
  <c r="M25" i="6"/>
  <c r="L25" i="6"/>
  <c r="K25" i="6"/>
  <c r="J25" i="6"/>
  <c r="I25" i="6"/>
  <c r="O24" i="6"/>
  <c r="P24" i="6" s="1"/>
  <c r="N24" i="6"/>
  <c r="M24" i="6"/>
  <c r="L24" i="6"/>
  <c r="K24" i="6"/>
  <c r="J24" i="6"/>
  <c r="I24" i="6"/>
  <c r="P23" i="6"/>
  <c r="O23" i="6"/>
  <c r="N23" i="6"/>
  <c r="M23" i="6"/>
  <c r="L23" i="6"/>
  <c r="K23" i="6"/>
  <c r="J23" i="6"/>
  <c r="I23" i="6"/>
  <c r="O22" i="6"/>
  <c r="P22" i="6" s="1"/>
  <c r="N22" i="6"/>
  <c r="M22" i="6"/>
  <c r="L22" i="6"/>
  <c r="K22" i="6"/>
  <c r="J22" i="6"/>
  <c r="I22" i="6"/>
  <c r="N21" i="6"/>
  <c r="M21" i="6"/>
  <c r="L21" i="6"/>
  <c r="K21" i="6"/>
  <c r="J21" i="6"/>
  <c r="I21" i="6"/>
  <c r="N20" i="6"/>
  <c r="M20" i="6"/>
  <c r="L20" i="6"/>
  <c r="K20" i="6"/>
  <c r="J20" i="6"/>
  <c r="I20" i="6"/>
  <c r="N19" i="6"/>
  <c r="M19" i="6"/>
  <c r="L19" i="6"/>
  <c r="K19" i="6"/>
  <c r="J19" i="6"/>
  <c r="I19" i="6"/>
  <c r="O19" i="6" s="1"/>
  <c r="N18" i="6"/>
  <c r="M18" i="6"/>
  <c r="L18" i="6"/>
  <c r="K18" i="6"/>
  <c r="J18" i="6"/>
  <c r="I18" i="6"/>
  <c r="N17" i="6"/>
  <c r="M17" i="6"/>
  <c r="L17" i="6"/>
  <c r="K17" i="6"/>
  <c r="J17" i="6"/>
  <c r="I17" i="6"/>
  <c r="O17" i="6" s="1"/>
  <c r="D66" i="10" s="1"/>
  <c r="N16" i="6"/>
  <c r="M16" i="6"/>
  <c r="L16" i="6"/>
  <c r="O16" i="6" s="1"/>
  <c r="K16" i="6"/>
  <c r="J16" i="6"/>
  <c r="I16" i="6"/>
  <c r="N15" i="6"/>
  <c r="M15" i="6"/>
  <c r="L15" i="6"/>
  <c r="K15" i="6"/>
  <c r="J15" i="6"/>
  <c r="I15" i="6"/>
  <c r="N14" i="6"/>
  <c r="M14" i="6"/>
  <c r="L14" i="6"/>
  <c r="K14" i="6"/>
  <c r="J14" i="6"/>
  <c r="I14" i="6"/>
  <c r="N13" i="6"/>
  <c r="M13" i="6"/>
  <c r="O13" i="6" s="1"/>
  <c r="L13" i="6"/>
  <c r="K13" i="6"/>
  <c r="J13" i="6"/>
  <c r="I13" i="6"/>
  <c r="N12" i="6"/>
  <c r="M12" i="6"/>
  <c r="L12" i="6"/>
  <c r="K12" i="6"/>
  <c r="J12" i="6"/>
  <c r="I12" i="6"/>
  <c r="O12" i="6" s="1"/>
  <c r="N11" i="6"/>
  <c r="M11" i="6"/>
  <c r="L11" i="6"/>
  <c r="K11" i="6"/>
  <c r="J11" i="6"/>
  <c r="I11" i="6"/>
  <c r="N10" i="6"/>
  <c r="M10" i="6"/>
  <c r="L10" i="6"/>
  <c r="K10" i="6"/>
  <c r="J10" i="6"/>
  <c r="I10" i="6"/>
  <c r="O10" i="6" s="1"/>
  <c r="P10" i="6" s="1"/>
  <c r="N9" i="6"/>
  <c r="M9" i="6"/>
  <c r="L9" i="6"/>
  <c r="K9" i="6"/>
  <c r="J9" i="6"/>
  <c r="I9" i="6"/>
  <c r="N8" i="6"/>
  <c r="M8" i="6"/>
  <c r="L8" i="6"/>
  <c r="K8" i="6"/>
  <c r="J8" i="6"/>
  <c r="I8" i="6"/>
  <c r="O8" i="6" s="1"/>
  <c r="P8" i="6" s="1"/>
  <c r="N7" i="6"/>
  <c r="O7" i="6" s="1"/>
  <c r="M7" i="6"/>
  <c r="L7" i="6"/>
  <c r="K7" i="6"/>
  <c r="J7" i="6"/>
  <c r="I7" i="6"/>
  <c r="N6" i="6"/>
  <c r="M6" i="6"/>
  <c r="L6" i="6"/>
  <c r="K6" i="6"/>
  <c r="J6" i="6"/>
  <c r="I6" i="6"/>
  <c r="P5" i="6"/>
  <c r="N5" i="6"/>
  <c r="M5" i="6"/>
  <c r="L5" i="6"/>
  <c r="K5" i="6"/>
  <c r="J5" i="6"/>
  <c r="I5" i="6"/>
  <c r="O5" i="6" s="1"/>
  <c r="N4" i="6"/>
  <c r="M4" i="6"/>
  <c r="L4" i="6"/>
  <c r="O4" i="6" s="1"/>
  <c r="K4" i="6"/>
  <c r="J4" i="6"/>
  <c r="I4" i="6"/>
  <c r="N3" i="6"/>
  <c r="M3" i="6"/>
  <c r="L3" i="6"/>
  <c r="K3" i="6"/>
  <c r="J3" i="6"/>
  <c r="I3" i="6"/>
  <c r="H3" i="6"/>
  <c r="G3" i="6"/>
  <c r="F3" i="6"/>
  <c r="E3" i="6"/>
  <c r="D3" i="6"/>
  <c r="C3" i="6"/>
  <c r="P30" i="5"/>
  <c r="O28" i="5"/>
  <c r="P28" i="5" s="1"/>
  <c r="N28" i="5"/>
  <c r="M28" i="5"/>
  <c r="L28" i="5"/>
  <c r="K28" i="5"/>
  <c r="J28" i="5"/>
  <c r="I28" i="5"/>
  <c r="P27" i="5"/>
  <c r="O27" i="5"/>
  <c r="N27" i="5"/>
  <c r="M27" i="5"/>
  <c r="L27" i="5"/>
  <c r="K27" i="5"/>
  <c r="J27" i="5"/>
  <c r="I27" i="5"/>
  <c r="O26" i="5"/>
  <c r="P26" i="5" s="1"/>
  <c r="N26" i="5"/>
  <c r="M26" i="5"/>
  <c r="L26" i="5"/>
  <c r="K26" i="5"/>
  <c r="J26" i="5"/>
  <c r="I26" i="5"/>
  <c r="O25" i="5"/>
  <c r="P25" i="5" s="1"/>
  <c r="N25" i="5"/>
  <c r="M25" i="5"/>
  <c r="L25" i="5"/>
  <c r="K25" i="5"/>
  <c r="J25" i="5"/>
  <c r="I25" i="5"/>
  <c r="P24" i="5"/>
  <c r="O24" i="5"/>
  <c r="N24" i="5"/>
  <c r="M24" i="5"/>
  <c r="L24" i="5"/>
  <c r="K24" i="5"/>
  <c r="J24" i="5"/>
  <c r="I24" i="5"/>
  <c r="O23" i="5"/>
  <c r="P23" i="5" s="1"/>
  <c r="N23" i="5"/>
  <c r="M23" i="5"/>
  <c r="L23" i="5"/>
  <c r="K23" i="5"/>
  <c r="J23" i="5"/>
  <c r="I23" i="5"/>
  <c r="O22" i="5"/>
  <c r="P22" i="5" s="1"/>
  <c r="N22" i="5"/>
  <c r="M22" i="5"/>
  <c r="L22" i="5"/>
  <c r="K22" i="5"/>
  <c r="J22" i="5"/>
  <c r="I22" i="5"/>
  <c r="N21" i="5"/>
  <c r="M21" i="5"/>
  <c r="L21" i="5"/>
  <c r="K21" i="5"/>
  <c r="J21" i="5"/>
  <c r="I21" i="5"/>
  <c r="N20" i="5"/>
  <c r="M20" i="5"/>
  <c r="L20" i="5"/>
  <c r="O20" i="5" s="1"/>
  <c r="K20" i="5"/>
  <c r="J20" i="5"/>
  <c r="I20" i="5"/>
  <c r="P19" i="5"/>
  <c r="N19" i="5"/>
  <c r="M19" i="5"/>
  <c r="L19" i="5"/>
  <c r="K19" i="5"/>
  <c r="J19" i="5"/>
  <c r="I19" i="5"/>
  <c r="O19" i="5" s="1"/>
  <c r="D43" i="10" s="1"/>
  <c r="N18" i="5"/>
  <c r="M18" i="5"/>
  <c r="L18" i="5"/>
  <c r="K18" i="5"/>
  <c r="J18" i="5"/>
  <c r="I18" i="5"/>
  <c r="N17" i="5"/>
  <c r="M17" i="5"/>
  <c r="L17" i="5"/>
  <c r="O17" i="5" s="1"/>
  <c r="K17" i="5"/>
  <c r="J17" i="5"/>
  <c r="I17" i="5"/>
  <c r="O16" i="5"/>
  <c r="D40" i="10" s="1"/>
  <c r="N16" i="5"/>
  <c r="M16" i="5"/>
  <c r="L16" i="5"/>
  <c r="K16" i="5"/>
  <c r="J16" i="5"/>
  <c r="I16" i="5"/>
  <c r="N15" i="5"/>
  <c r="M15" i="5"/>
  <c r="L15" i="5"/>
  <c r="K15" i="5"/>
  <c r="J15" i="5"/>
  <c r="I15" i="5"/>
  <c r="N14" i="5"/>
  <c r="M14" i="5"/>
  <c r="L14" i="5"/>
  <c r="K14" i="5"/>
  <c r="J14" i="5"/>
  <c r="I14" i="5"/>
  <c r="N13" i="5"/>
  <c r="M13" i="5"/>
  <c r="L13" i="5"/>
  <c r="K13" i="5"/>
  <c r="J13" i="5"/>
  <c r="O13" i="5" s="1"/>
  <c r="I13" i="5"/>
  <c r="N12" i="5"/>
  <c r="M12" i="5"/>
  <c r="L12" i="5"/>
  <c r="K12" i="5"/>
  <c r="J12" i="5"/>
  <c r="I12" i="5"/>
  <c r="O12" i="5" s="1"/>
  <c r="D36" i="10" s="1"/>
  <c r="N11" i="5"/>
  <c r="M11" i="5"/>
  <c r="L11" i="5"/>
  <c r="O11" i="5" s="1"/>
  <c r="P11" i="5" s="1"/>
  <c r="K11" i="5"/>
  <c r="J11" i="5"/>
  <c r="I11" i="5"/>
  <c r="N10" i="5"/>
  <c r="M10" i="5"/>
  <c r="L10" i="5"/>
  <c r="K10" i="5"/>
  <c r="J10" i="5"/>
  <c r="I10" i="5"/>
  <c r="O10" i="5" s="1"/>
  <c r="P9" i="5"/>
  <c r="N9" i="5"/>
  <c r="M9" i="5"/>
  <c r="L9" i="5"/>
  <c r="K9" i="5"/>
  <c r="J9" i="5"/>
  <c r="I9" i="5"/>
  <c r="O9" i="5" s="1"/>
  <c r="N8" i="5"/>
  <c r="M8" i="5"/>
  <c r="L8" i="5"/>
  <c r="O8" i="5" s="1"/>
  <c r="D32" i="10" s="1"/>
  <c r="G32" i="10" s="1"/>
  <c r="K8" i="5"/>
  <c r="J8" i="5"/>
  <c r="I8" i="5"/>
  <c r="N7" i="5"/>
  <c r="M7" i="5"/>
  <c r="L7" i="5"/>
  <c r="O7" i="5" s="1"/>
  <c r="K7" i="5"/>
  <c r="J7" i="5"/>
  <c r="I7" i="5"/>
  <c r="N6" i="5"/>
  <c r="M6" i="5"/>
  <c r="L6" i="5"/>
  <c r="K6" i="5"/>
  <c r="J6" i="5"/>
  <c r="I6" i="5"/>
  <c r="O5" i="5"/>
  <c r="D29" i="10" s="1"/>
  <c r="N5" i="5"/>
  <c r="M5" i="5"/>
  <c r="L5" i="5"/>
  <c r="K5" i="5"/>
  <c r="J5" i="5"/>
  <c r="I5" i="5"/>
  <c r="N4" i="5"/>
  <c r="M4" i="5"/>
  <c r="L4" i="5"/>
  <c r="K4" i="5"/>
  <c r="O4" i="5" s="1"/>
  <c r="J4" i="5"/>
  <c r="I4" i="5"/>
  <c r="N3" i="5"/>
  <c r="M3" i="5"/>
  <c r="L3" i="5"/>
  <c r="K3" i="5"/>
  <c r="J3" i="5"/>
  <c r="I3" i="5"/>
  <c r="H3" i="5"/>
  <c r="G3" i="5"/>
  <c r="F3" i="5"/>
  <c r="E3" i="5"/>
  <c r="D3" i="5"/>
  <c r="C3" i="5"/>
  <c r="P30" i="4"/>
  <c r="P28" i="4"/>
  <c r="O28" i="4"/>
  <c r="N28" i="4"/>
  <c r="M28" i="4"/>
  <c r="L28" i="4"/>
  <c r="K28" i="4"/>
  <c r="J28" i="4"/>
  <c r="I28" i="4"/>
  <c r="P27" i="4"/>
  <c r="O27" i="4"/>
  <c r="N27" i="4"/>
  <c r="M27" i="4"/>
  <c r="L27" i="4"/>
  <c r="K27" i="4"/>
  <c r="J27" i="4"/>
  <c r="I27" i="4"/>
  <c r="O26" i="4"/>
  <c r="P26" i="4" s="1"/>
  <c r="N26" i="4"/>
  <c r="M26" i="4"/>
  <c r="L26" i="4"/>
  <c r="K26" i="4"/>
  <c r="J26" i="4"/>
  <c r="I26" i="4"/>
  <c r="P25" i="4"/>
  <c r="O25" i="4"/>
  <c r="N25" i="4"/>
  <c r="M25" i="4"/>
  <c r="L25" i="4"/>
  <c r="K25" i="4"/>
  <c r="J25" i="4"/>
  <c r="I25" i="4"/>
  <c r="P24" i="4"/>
  <c r="O24" i="4"/>
  <c r="N24" i="4"/>
  <c r="M24" i="4"/>
  <c r="L24" i="4"/>
  <c r="K24" i="4"/>
  <c r="J24" i="4"/>
  <c r="I24" i="4"/>
  <c r="O23" i="4"/>
  <c r="P23" i="4" s="1"/>
  <c r="N23" i="4"/>
  <c r="M23" i="4"/>
  <c r="L23" i="4"/>
  <c r="K23" i="4"/>
  <c r="J23" i="4"/>
  <c r="I23" i="4"/>
  <c r="P22" i="4"/>
  <c r="O22" i="4"/>
  <c r="N22" i="4"/>
  <c r="M22" i="4"/>
  <c r="L22" i="4"/>
  <c r="K22" i="4"/>
  <c r="J22" i="4"/>
  <c r="I22" i="4"/>
  <c r="N21" i="4"/>
  <c r="M21" i="4"/>
  <c r="L21" i="4"/>
  <c r="K21" i="4"/>
  <c r="J21" i="4"/>
  <c r="I21" i="4"/>
  <c r="O21" i="4" s="1"/>
  <c r="D20" i="10" s="1"/>
  <c r="N20" i="4"/>
  <c r="M20" i="4"/>
  <c r="L20" i="4"/>
  <c r="O20" i="4" s="1"/>
  <c r="K20" i="4"/>
  <c r="J20" i="4"/>
  <c r="I20" i="4"/>
  <c r="N19" i="4"/>
  <c r="M19" i="4"/>
  <c r="L19" i="4"/>
  <c r="K19" i="4"/>
  <c r="J19" i="4"/>
  <c r="I19" i="4"/>
  <c r="N18" i="4"/>
  <c r="O18" i="4" s="1"/>
  <c r="M18" i="4"/>
  <c r="L18" i="4"/>
  <c r="K18" i="4"/>
  <c r="J18" i="4"/>
  <c r="I18" i="4"/>
  <c r="N17" i="4"/>
  <c r="O17" i="4" s="1"/>
  <c r="M17" i="4"/>
  <c r="L17" i="4"/>
  <c r="K17" i="4"/>
  <c r="J17" i="4"/>
  <c r="I17" i="4"/>
  <c r="N16" i="4"/>
  <c r="M16" i="4"/>
  <c r="L16" i="4"/>
  <c r="K16" i="4"/>
  <c r="J16" i="4"/>
  <c r="I16" i="4"/>
  <c r="O16" i="4" s="1"/>
  <c r="N15" i="4"/>
  <c r="M15" i="4"/>
  <c r="O15" i="4" s="1"/>
  <c r="L15" i="4"/>
  <c r="K15" i="4"/>
  <c r="J15" i="4"/>
  <c r="I15" i="4"/>
  <c r="N14" i="4"/>
  <c r="M14" i="4"/>
  <c r="L14" i="4"/>
  <c r="K14" i="4"/>
  <c r="J14" i="4"/>
  <c r="I14" i="4"/>
  <c r="N13" i="4"/>
  <c r="M13" i="4"/>
  <c r="L13" i="4"/>
  <c r="K13" i="4"/>
  <c r="J13" i="4"/>
  <c r="I13" i="4"/>
  <c r="N12" i="4"/>
  <c r="M12" i="4"/>
  <c r="O12" i="4" s="1"/>
  <c r="L12" i="4"/>
  <c r="K12" i="4"/>
  <c r="J12" i="4"/>
  <c r="I12" i="4"/>
  <c r="N11" i="4"/>
  <c r="M11" i="4"/>
  <c r="L11" i="4"/>
  <c r="K11" i="4"/>
  <c r="J11" i="4"/>
  <c r="I11" i="4"/>
  <c r="O11" i="4" s="1"/>
  <c r="D10" i="10" s="1"/>
  <c r="N10" i="4"/>
  <c r="M10" i="4"/>
  <c r="L10" i="4"/>
  <c r="K10" i="4"/>
  <c r="J10" i="4"/>
  <c r="I10" i="4"/>
  <c r="N9" i="4"/>
  <c r="M9" i="4"/>
  <c r="L9" i="4"/>
  <c r="K9" i="4"/>
  <c r="J9" i="4"/>
  <c r="I9" i="4"/>
  <c r="O9" i="4" s="1"/>
  <c r="P9" i="4" s="1"/>
  <c r="O8" i="4"/>
  <c r="D7" i="10" s="1"/>
  <c r="N8" i="4"/>
  <c r="M8" i="4"/>
  <c r="L8" i="4"/>
  <c r="K8" i="4"/>
  <c r="J8" i="4"/>
  <c r="I8" i="4"/>
  <c r="N7" i="4"/>
  <c r="M7" i="4"/>
  <c r="L7" i="4"/>
  <c r="K7" i="4"/>
  <c r="J7" i="4"/>
  <c r="I7" i="4"/>
  <c r="O7" i="4" s="1"/>
  <c r="P7" i="4" s="1"/>
  <c r="P6" i="4"/>
  <c r="N6" i="4"/>
  <c r="M6" i="4"/>
  <c r="L6" i="4"/>
  <c r="K6" i="4"/>
  <c r="J6" i="4"/>
  <c r="I6" i="4"/>
  <c r="O6" i="4" s="1"/>
  <c r="D5" i="10" s="1"/>
  <c r="N5" i="4"/>
  <c r="M5" i="4"/>
  <c r="L5" i="4"/>
  <c r="O5" i="4" s="1"/>
  <c r="K5" i="4"/>
  <c r="J5" i="4"/>
  <c r="I5" i="4"/>
  <c r="N4" i="4"/>
  <c r="M4" i="4"/>
  <c r="L4" i="4"/>
  <c r="K4" i="4"/>
  <c r="J4" i="4"/>
  <c r="I4" i="4"/>
  <c r="O4" i="4" s="1"/>
  <c r="D3" i="10" s="1"/>
  <c r="N3" i="4"/>
  <c r="M3" i="4"/>
  <c r="L3" i="4"/>
  <c r="K3" i="4"/>
  <c r="J3" i="4"/>
  <c r="I3" i="4"/>
  <c r="H3" i="4"/>
  <c r="G3" i="4"/>
  <c r="F3" i="4"/>
  <c r="E3" i="4"/>
  <c r="D3" i="4"/>
  <c r="C3" i="4"/>
  <c r="E45" i="3"/>
  <c r="E38" i="3"/>
  <c r="E31" i="3"/>
  <c r="E24" i="3"/>
  <c r="E17" i="3"/>
  <c r="E10" i="3"/>
  <c r="D15" i="1"/>
  <c r="D14" i="1"/>
  <c r="D13" i="1"/>
  <c r="D12" i="1"/>
  <c r="D11" i="1"/>
  <c r="D10" i="1"/>
  <c r="D16" i="10" l="1"/>
  <c r="P17" i="4"/>
  <c r="O30" i="9"/>
  <c r="D128" i="10"/>
  <c r="P4" i="9"/>
  <c r="D87" i="10"/>
  <c r="P13" i="7"/>
  <c r="P18" i="8"/>
  <c r="D117" i="10"/>
  <c r="D131" i="10"/>
  <c r="P7" i="9"/>
  <c r="D4" i="10"/>
  <c r="P5" i="4"/>
  <c r="D41" i="10"/>
  <c r="P17" i="5"/>
  <c r="P16" i="6"/>
  <c r="D65" i="10"/>
  <c r="D78" i="10"/>
  <c r="P4" i="7"/>
  <c r="D44" i="10"/>
  <c r="P20" i="5"/>
  <c r="P13" i="6"/>
  <c r="D62" i="10"/>
  <c r="P7" i="6"/>
  <c r="D56" i="10"/>
  <c r="D11" i="10"/>
  <c r="P12" i="4"/>
  <c r="D132" i="10"/>
  <c r="P8" i="9"/>
  <c r="P18" i="4"/>
  <c r="D17" i="10"/>
  <c r="D53" i="10"/>
  <c r="P4" i="6"/>
  <c r="D28" i="10"/>
  <c r="P4" i="5"/>
  <c r="D34" i="10"/>
  <c r="P10" i="5"/>
  <c r="P8" i="7"/>
  <c r="D82" i="10"/>
  <c r="D129" i="10"/>
  <c r="P5" i="9"/>
  <c r="D93" i="10"/>
  <c r="P19" i="7"/>
  <c r="D90" i="10"/>
  <c r="P16" i="7"/>
  <c r="D134" i="10"/>
  <c r="P10" i="9"/>
  <c r="D19" i="10"/>
  <c r="P20" i="4"/>
  <c r="D37" i="10"/>
  <c r="P13" i="5"/>
  <c r="D31" i="10"/>
  <c r="P7" i="5"/>
  <c r="G10" i="10"/>
  <c r="E10" i="10"/>
  <c r="G3" i="10"/>
  <c r="E3" i="10"/>
  <c r="P15" i="4"/>
  <c r="D14" i="10"/>
  <c r="G66" i="10"/>
  <c r="E66" i="10"/>
  <c r="D68" i="10"/>
  <c r="P19" i="6"/>
  <c r="P17" i="9"/>
  <c r="D141" i="10"/>
  <c r="G7" i="10"/>
  <c r="E7" i="10"/>
  <c r="D105" i="10"/>
  <c r="P6" i="8"/>
  <c r="A89" i="10"/>
  <c r="A107" i="10"/>
  <c r="A142" i="10"/>
  <c r="G20" i="10"/>
  <c r="E20" i="10"/>
  <c r="E40" i="10"/>
  <c r="G140" i="10"/>
  <c r="E140" i="10"/>
  <c r="E21" i="10"/>
  <c r="G21" i="10"/>
  <c r="G33" i="10"/>
  <c r="A56" i="10"/>
  <c r="A83" i="10"/>
  <c r="A129" i="10"/>
  <c r="A133" i="10"/>
  <c r="E135" i="10"/>
  <c r="D80" i="10"/>
  <c r="P15" i="7"/>
  <c r="D89" i="10"/>
  <c r="E26" i="10"/>
  <c r="D133" i="10"/>
  <c r="P8" i="5"/>
  <c r="G26" i="10"/>
  <c r="O18" i="6"/>
  <c r="D84" i="10"/>
  <c r="P10" i="7"/>
  <c r="E32" i="10"/>
  <c r="A60" i="10"/>
  <c r="G97" i="10"/>
  <c r="F97" i="10"/>
  <c r="A115" i="10"/>
  <c r="P11" i="4"/>
  <c r="P21" i="7"/>
  <c r="D95" i="10"/>
  <c r="D108" i="10"/>
  <c r="P9" i="8"/>
  <c r="E137" i="10"/>
  <c r="G137" i="10"/>
  <c r="A139" i="10"/>
  <c r="P8" i="4"/>
  <c r="A31" i="10"/>
  <c r="A80" i="10"/>
  <c r="A43" i="10"/>
  <c r="P16" i="5"/>
  <c r="P14" i="7"/>
  <c r="A12" i="10"/>
  <c r="A62" i="10"/>
  <c r="A68" i="10"/>
  <c r="A111" i="10"/>
  <c r="A29" i="10"/>
  <c r="G85" i="10"/>
  <c r="E85" i="10"/>
  <c r="A35" i="10"/>
  <c r="A130" i="10"/>
  <c r="A136" i="10"/>
  <c r="G43" i="10"/>
  <c r="P11" i="7"/>
  <c r="A19" i="10"/>
  <c r="A84" i="10"/>
  <c r="D94" i="10"/>
  <c r="G99" i="10"/>
  <c r="E99" i="10"/>
  <c r="F99" i="10"/>
  <c r="P21" i="4"/>
  <c r="P6" i="9"/>
  <c r="D130" i="10"/>
  <c r="G22" i="10"/>
  <c r="F22" i="10"/>
  <c r="E22" i="10"/>
  <c r="A41" i="10"/>
  <c r="A54" i="10"/>
  <c r="D57" i="10"/>
  <c r="A109" i="10"/>
  <c r="A137" i="10"/>
  <c r="D112" i="10"/>
  <c r="P13" i="8"/>
  <c r="A38" i="10"/>
  <c r="E97" i="10"/>
  <c r="E102" i="10"/>
  <c r="G102" i="10"/>
  <c r="F102" i="10"/>
  <c r="A119" i="10"/>
  <c r="O20" i="6"/>
  <c r="E49" i="10"/>
  <c r="G91" i="10"/>
  <c r="E91" i="10"/>
  <c r="P8" i="8"/>
  <c r="D107" i="10"/>
  <c r="P16" i="4"/>
  <c r="D15" i="10"/>
  <c r="P17" i="7"/>
  <c r="P13" i="9"/>
  <c r="P12" i="6"/>
  <c r="D61" i="10"/>
  <c r="D136" i="10"/>
  <c r="P12" i="9"/>
  <c r="E8" i="10"/>
  <c r="A117" i="10"/>
  <c r="G150" i="10"/>
  <c r="F150" i="10"/>
  <c r="P4" i="4"/>
  <c r="F21" i="10"/>
  <c r="D59" i="10"/>
  <c r="A114" i="10"/>
  <c r="E36" i="10"/>
  <c r="G36" i="10"/>
  <c r="D6" i="10"/>
  <c r="A40" i="10"/>
  <c r="G86" i="10"/>
  <c r="F101" i="10"/>
  <c r="E101" i="10"/>
  <c r="G101" i="10"/>
  <c r="A140" i="10"/>
  <c r="A78" i="10"/>
  <c r="P17" i="6"/>
  <c r="A4" i="10"/>
  <c r="A143" i="10"/>
  <c r="A108" i="10"/>
  <c r="A104" i="10"/>
  <c r="A65" i="10"/>
  <c r="A36" i="10"/>
  <c r="A32" i="10"/>
  <c r="A30" i="10"/>
  <c r="A110" i="10"/>
  <c r="A106" i="10"/>
  <c r="A67" i="10"/>
  <c r="A34" i="10"/>
  <c r="A79" i="10"/>
  <c r="A66" i="10"/>
  <c r="A10" i="10"/>
  <c r="A87" i="10"/>
  <c r="A53" i="10"/>
  <c r="A138" i="10"/>
  <c r="A135" i="10"/>
  <c r="A132" i="10"/>
  <c r="A113" i="10"/>
  <c r="A118" i="10"/>
  <c r="A44" i="10"/>
  <c r="A15" i="10"/>
  <c r="A5" i="10"/>
  <c r="G40" i="10"/>
  <c r="A91" i="10"/>
  <c r="E29" i="10"/>
  <c r="G29" i="10"/>
  <c r="O11" i="6"/>
  <c r="P5" i="5"/>
  <c r="D114" i="10"/>
  <c r="P15" i="8"/>
  <c r="P16" i="9"/>
  <c r="A7" i="10"/>
  <c r="D35" i="10"/>
  <c r="A95" i="10"/>
  <c r="F146" i="10"/>
  <c r="G146" i="10"/>
  <c r="E146" i="10"/>
  <c r="O6" i="5"/>
  <c r="D79" i="10"/>
  <c r="P5" i="7"/>
  <c r="P17" i="8"/>
  <c r="D116" i="10"/>
  <c r="A14" i="10"/>
  <c r="A45" i="10"/>
  <c r="E47" i="10"/>
  <c r="A85" i="10"/>
  <c r="E88" i="10"/>
  <c r="A103" i="10"/>
  <c r="F125" i="10"/>
  <c r="E125" i="10"/>
  <c r="A134" i="10"/>
  <c r="P12" i="5"/>
  <c r="O14" i="5"/>
  <c r="O15" i="6"/>
  <c r="D139" i="10"/>
  <c r="P15" i="9"/>
  <c r="O19" i="9"/>
  <c r="A17" i="10"/>
  <c r="A33" i="10"/>
  <c r="A42" i="10"/>
  <c r="F47" i="10"/>
  <c r="F49" i="10"/>
  <c r="G54" i="10"/>
  <c r="E54" i="10"/>
  <c r="A58" i="10"/>
  <c r="F74" i="10"/>
  <c r="G74" i="10"/>
  <c r="A82" i="10"/>
  <c r="D106" i="10"/>
  <c r="A116" i="10"/>
  <c r="D119" i="10"/>
  <c r="E123" i="10"/>
  <c r="G125" i="10"/>
  <c r="A128" i="10"/>
  <c r="O14" i="4"/>
  <c r="O19" i="4"/>
  <c r="O6" i="6"/>
  <c r="E81" i="10"/>
  <c r="G81" i="10"/>
  <c r="A8" i="10"/>
  <c r="G25" i="10"/>
  <c r="F25" i="10"/>
  <c r="A39" i="10"/>
  <c r="A64" i="10"/>
  <c r="E74" i="10"/>
  <c r="A86" i="10"/>
  <c r="D92" i="10"/>
  <c r="F123" i="10"/>
  <c r="D138" i="10"/>
  <c r="O10" i="8"/>
  <c r="A105" i="10"/>
  <c r="E147" i="10"/>
  <c r="O18" i="5"/>
  <c r="O9" i="7"/>
  <c r="O30" i="7" s="1"/>
  <c r="O5" i="8"/>
  <c r="E145" i="10"/>
  <c r="F147" i="10"/>
  <c r="F149" i="10"/>
  <c r="E149" i="10"/>
  <c r="E5" i="10"/>
  <c r="O21" i="5"/>
  <c r="O12" i="8"/>
  <c r="O19" i="8"/>
  <c r="O15" i="5"/>
  <c r="O30" i="5" s="1"/>
  <c r="O14" i="8"/>
  <c r="O18" i="9"/>
  <c r="G5" i="10"/>
  <c r="A13" i="10"/>
  <c r="A16" i="10"/>
  <c r="G27" i="10"/>
  <c r="F27" i="10"/>
  <c r="E27" i="10"/>
  <c r="A37" i="10"/>
  <c r="A88" i="10"/>
  <c r="A112" i="10"/>
  <c r="E152" i="10"/>
  <c r="O9" i="6"/>
  <c r="O21" i="6"/>
  <c r="O4" i="8"/>
  <c r="O16" i="8"/>
  <c r="O13" i="4"/>
  <c r="O14" i="6"/>
  <c r="G46" i="10"/>
  <c r="F46" i="10"/>
  <c r="A69" i="10"/>
  <c r="E126" i="10"/>
  <c r="A93" i="10"/>
  <c r="A81" i="10"/>
  <c r="A57" i="10"/>
  <c r="A18" i="10"/>
  <c r="A20" i="10"/>
  <c r="E46" i="10"/>
  <c r="E50" i="10"/>
  <c r="A59" i="10"/>
  <c r="A61" i="10"/>
  <c r="A63" i="10"/>
  <c r="A90" i="10"/>
  <c r="A92" i="10"/>
  <c r="A94" i="10"/>
  <c r="E122" i="10"/>
  <c r="F126" i="10"/>
  <c r="F152" i="10"/>
  <c r="O10" i="4"/>
  <c r="O30" i="4" s="1"/>
  <c r="O11" i="8"/>
  <c r="A28" i="10"/>
  <c r="G50" i="10"/>
  <c r="F77" i="10"/>
  <c r="E77" i="10"/>
  <c r="G122" i="10"/>
  <c r="A141" i="10"/>
  <c r="B5" i="11" l="1"/>
  <c r="C13" i="1"/>
  <c r="E13" i="1" s="1"/>
  <c r="B2" i="11"/>
  <c r="C10" i="1"/>
  <c r="E10" i="1" s="1"/>
  <c r="C11" i="1"/>
  <c r="E11" i="1" s="1"/>
  <c r="B3" i="11"/>
  <c r="P14" i="8"/>
  <c r="D113" i="10"/>
  <c r="E119" i="10"/>
  <c r="G119" i="10"/>
  <c r="G15" i="10"/>
  <c r="E15" i="10"/>
  <c r="E108" i="10"/>
  <c r="G108" i="10"/>
  <c r="G19" i="10"/>
  <c r="E19" i="10"/>
  <c r="G34" i="10"/>
  <c r="E34" i="10"/>
  <c r="G95" i="10"/>
  <c r="E95" i="10"/>
  <c r="G56" i="10"/>
  <c r="E56" i="10"/>
  <c r="E6" i="10"/>
  <c r="G6" i="10"/>
  <c r="G107" i="10"/>
  <c r="E107" i="10"/>
  <c r="G62" i="10"/>
  <c r="E62" i="10"/>
  <c r="P10" i="8"/>
  <c r="D109" i="10"/>
  <c r="P19" i="9"/>
  <c r="D143" i="10"/>
  <c r="E89" i="10"/>
  <c r="G89" i="10"/>
  <c r="F112" i="10"/>
  <c r="E112" i="10"/>
  <c r="G112" i="10"/>
  <c r="G131" i="10"/>
  <c r="E131" i="10"/>
  <c r="G139" i="10"/>
  <c r="E139" i="10"/>
  <c r="E80" i="10"/>
  <c r="G80" i="10"/>
  <c r="E44" i="10"/>
  <c r="G44" i="10"/>
  <c r="D63" i="10"/>
  <c r="P14" i="6"/>
  <c r="P19" i="4"/>
  <c r="D18" i="10"/>
  <c r="G61" i="10"/>
  <c r="E61" i="10"/>
  <c r="F40" i="10"/>
  <c r="P13" i="4"/>
  <c r="D12" i="10"/>
  <c r="P14" i="4"/>
  <c r="D13" i="10"/>
  <c r="E57" i="10"/>
  <c r="G57" i="10"/>
  <c r="P11" i="8"/>
  <c r="D110" i="10"/>
  <c r="D115" i="10"/>
  <c r="P16" i="8"/>
  <c r="G82" i="10"/>
  <c r="E82" i="10"/>
  <c r="G87" i="10"/>
  <c r="E87" i="10"/>
  <c r="P9" i="7"/>
  <c r="D83" i="10"/>
  <c r="E11" i="10"/>
  <c r="G11" i="10"/>
  <c r="D42" i="10"/>
  <c r="P18" i="5"/>
  <c r="E41" i="10"/>
  <c r="G41" i="10"/>
  <c r="D118" i="10"/>
  <c r="P19" i="8"/>
  <c r="G130" i="10"/>
  <c r="E130" i="10"/>
  <c r="G133" i="10"/>
  <c r="E133" i="10"/>
  <c r="G134" i="10"/>
  <c r="E134" i="10"/>
  <c r="G16" i="10"/>
  <c r="F16" i="10"/>
  <c r="E16" i="10"/>
  <c r="G4" i="10"/>
  <c r="E4" i="10"/>
  <c r="G136" i="10"/>
  <c r="E136" i="10"/>
  <c r="E93" i="10"/>
  <c r="G93" i="10"/>
  <c r="E117" i="10"/>
  <c r="G117" i="10"/>
  <c r="G92" i="10"/>
  <c r="E92" i="10"/>
  <c r="E116" i="10"/>
  <c r="G116" i="10"/>
  <c r="G59" i="10"/>
  <c r="E59" i="10"/>
  <c r="E141" i="10"/>
  <c r="G141" i="10"/>
  <c r="E17" i="10"/>
  <c r="G17" i="10"/>
  <c r="G31" i="10"/>
  <c r="F31" i="10"/>
  <c r="E31" i="10"/>
  <c r="E129" i="10"/>
  <c r="G129" i="10"/>
  <c r="G78" i="10"/>
  <c r="E78" i="10"/>
  <c r="D103" i="10"/>
  <c r="O30" i="8"/>
  <c r="P4" i="8"/>
  <c r="G79" i="10"/>
  <c r="E79" i="10"/>
  <c r="D60" i="10"/>
  <c r="P11" i="6"/>
  <c r="E84" i="10"/>
  <c r="G84" i="10"/>
  <c r="G68" i="10"/>
  <c r="E68" i="10"/>
  <c r="J19" i="1"/>
  <c r="E37" i="10"/>
  <c r="G37" i="10"/>
  <c r="E132" i="10"/>
  <c r="G132" i="10"/>
  <c r="E65" i="10"/>
  <c r="G65" i="10"/>
  <c r="P9" i="6"/>
  <c r="D58" i="10"/>
  <c r="F4" i="11" s="1"/>
  <c r="C15" i="1"/>
  <c r="E15" i="1" s="1"/>
  <c r="B7" i="11"/>
  <c r="P15" i="5"/>
  <c r="D39" i="10"/>
  <c r="G106" i="10"/>
  <c r="E106" i="10"/>
  <c r="E14" i="10"/>
  <c r="G14" i="10"/>
  <c r="D111" i="10"/>
  <c r="P12" i="8"/>
  <c r="F88" i="10"/>
  <c r="E105" i="10"/>
  <c r="G105" i="10"/>
  <c r="G28" i="10"/>
  <c r="E28" i="10"/>
  <c r="D45" i="10"/>
  <c r="P21" i="5"/>
  <c r="G35" i="10"/>
  <c r="E35" i="10"/>
  <c r="F140" i="10"/>
  <c r="E90" i="10"/>
  <c r="G90" i="10"/>
  <c r="G138" i="10"/>
  <c r="E138" i="10"/>
  <c r="E53" i="10"/>
  <c r="G53" i="10"/>
  <c r="D55" i="10"/>
  <c r="P6" i="6"/>
  <c r="O30" i="6"/>
  <c r="D64" i="10"/>
  <c r="P15" i="6"/>
  <c r="D38" i="10"/>
  <c r="P14" i="5"/>
  <c r="E114" i="10"/>
  <c r="G114" i="10"/>
  <c r="D69" i="10"/>
  <c r="P20" i="6"/>
  <c r="G94" i="10"/>
  <c r="E94" i="10"/>
  <c r="P10" i="4"/>
  <c r="D9" i="10"/>
  <c r="P21" i="6"/>
  <c r="D70" i="10"/>
  <c r="J10" i="1" s="1"/>
  <c r="P18" i="9"/>
  <c r="D142" i="10"/>
  <c r="P5" i="8"/>
  <c r="D104" i="10"/>
  <c r="P6" i="5"/>
  <c r="D30" i="10"/>
  <c r="D67" i="10"/>
  <c r="P18" i="6"/>
  <c r="E128" i="10"/>
  <c r="G128" i="10"/>
  <c r="F128" i="10"/>
  <c r="G115" i="10" l="1"/>
  <c r="F115" i="10"/>
  <c r="E115" i="10"/>
  <c r="F87" i="10"/>
  <c r="F110" i="10"/>
  <c r="E110" i="10"/>
  <c r="G110" i="10"/>
  <c r="F34" i="10"/>
  <c r="F53" i="10"/>
  <c r="F68" i="10"/>
  <c r="F139" i="10"/>
  <c r="E9" i="10"/>
  <c r="F9" i="10"/>
  <c r="G9" i="10"/>
  <c r="J14" i="1"/>
  <c r="F6" i="11"/>
  <c r="H5" i="1"/>
  <c r="J11" i="1"/>
  <c r="F29" i="10"/>
  <c r="F66" i="10"/>
  <c r="F43" i="10"/>
  <c r="B6" i="11"/>
  <c r="C14" i="1"/>
  <c r="E14" i="1" s="1"/>
  <c r="F5" i="10"/>
  <c r="F57" i="10"/>
  <c r="F6" i="10"/>
  <c r="F2" i="11"/>
  <c r="F134" i="10"/>
  <c r="F82" i="10"/>
  <c r="F19" i="10"/>
  <c r="E45" i="10"/>
  <c r="G45" i="10"/>
  <c r="F45" i="10"/>
  <c r="F65" i="10"/>
  <c r="J20" i="1"/>
  <c r="F143" i="10"/>
  <c r="E143" i="10"/>
  <c r="G143" i="10"/>
  <c r="G67" i="10"/>
  <c r="E67" i="10"/>
  <c r="F67" i="10"/>
  <c r="G64" i="10"/>
  <c r="E64" i="10"/>
  <c r="F64" i="10"/>
  <c r="F132" i="10"/>
  <c r="F78" i="10"/>
  <c r="F141" i="10"/>
  <c r="F133" i="10"/>
  <c r="F42" i="10"/>
  <c r="E42" i="10"/>
  <c r="G42" i="10"/>
  <c r="F3" i="10"/>
  <c r="F135" i="10"/>
  <c r="F131" i="10"/>
  <c r="F108" i="10"/>
  <c r="F30" i="10"/>
  <c r="E30" i="10"/>
  <c r="G30" i="10"/>
  <c r="F94" i="10"/>
  <c r="C12" i="1"/>
  <c r="E12" i="1" s="1"/>
  <c r="B4" i="11"/>
  <c r="F28" i="10"/>
  <c r="F106" i="10"/>
  <c r="F4" i="10"/>
  <c r="F20" i="10"/>
  <c r="G13" i="10"/>
  <c r="F13" i="10"/>
  <c r="E13" i="10"/>
  <c r="G63" i="10"/>
  <c r="E63" i="10"/>
  <c r="F63" i="10"/>
  <c r="G109" i="10"/>
  <c r="F109" i="10"/>
  <c r="E109" i="10"/>
  <c r="F56" i="10"/>
  <c r="F119" i="10"/>
  <c r="G70" i="10"/>
  <c r="F70" i="10"/>
  <c r="E70" i="10"/>
  <c r="F136" i="10"/>
  <c r="J22" i="1"/>
  <c r="F35" i="10"/>
  <c r="G111" i="10"/>
  <c r="F111" i="10"/>
  <c r="E111" i="10"/>
  <c r="F116" i="10"/>
  <c r="G103" i="10"/>
  <c r="F103" i="10"/>
  <c r="E103" i="10"/>
  <c r="F7" i="10"/>
  <c r="E18" i="10"/>
  <c r="F18" i="10"/>
  <c r="G18" i="10"/>
  <c r="F89" i="10"/>
  <c r="J21" i="1"/>
  <c r="F14" i="10"/>
  <c r="F84" i="10"/>
  <c r="F17" i="10"/>
  <c r="F81" i="10"/>
  <c r="F138" i="10"/>
  <c r="F117" i="10"/>
  <c r="B5" i="1"/>
  <c r="F137" i="10"/>
  <c r="F129" i="10"/>
  <c r="F33" i="10"/>
  <c r="F10" i="10"/>
  <c r="F114" i="10"/>
  <c r="G58" i="10"/>
  <c r="F58" i="10"/>
  <c r="E58" i="10"/>
  <c r="G118" i="10"/>
  <c r="F118" i="10"/>
  <c r="E118" i="10"/>
  <c r="F80" i="10"/>
  <c r="F107" i="10"/>
  <c r="F5" i="1"/>
  <c r="F5" i="11"/>
  <c r="F38" i="10"/>
  <c r="G38" i="10"/>
  <c r="E38" i="10"/>
  <c r="F61" i="10"/>
  <c r="F113" i="10"/>
  <c r="E113" i="10"/>
  <c r="G113" i="10"/>
  <c r="J23" i="1"/>
  <c r="F91" i="10"/>
  <c r="F92" i="10"/>
  <c r="F41" i="10"/>
  <c r="G104" i="10"/>
  <c r="F104" i="10"/>
  <c r="E104" i="10"/>
  <c r="F85" i="10"/>
  <c r="F105" i="10"/>
  <c r="G39" i="10"/>
  <c r="J5" i="1" s="1"/>
  <c r="F39" i="10"/>
  <c r="E39" i="10"/>
  <c r="F37" i="10"/>
  <c r="F59" i="10"/>
  <c r="F32" i="10"/>
  <c r="F11" i="10"/>
  <c r="F8" i="10"/>
  <c r="E12" i="10"/>
  <c r="G12" i="10"/>
  <c r="I21" i="1" s="1"/>
  <c r="F12" i="10"/>
  <c r="J12" i="1"/>
  <c r="C16" i="1"/>
  <c r="E16" i="1" s="1"/>
  <c r="D5" i="1"/>
  <c r="E69" i="10"/>
  <c r="G69" i="10"/>
  <c r="F69" i="10"/>
  <c r="F90" i="10"/>
  <c r="E60" i="10"/>
  <c r="G60" i="10"/>
  <c r="F60" i="10"/>
  <c r="F93" i="10"/>
  <c r="F36" i="10"/>
  <c r="F130" i="10"/>
  <c r="F83" i="10"/>
  <c r="E83" i="10"/>
  <c r="G83" i="10"/>
  <c r="F54" i="10"/>
  <c r="F44" i="10"/>
  <c r="F86" i="10"/>
  <c r="F95" i="10"/>
  <c r="F15" i="10"/>
  <c r="G142" i="10"/>
  <c r="F142" i="10"/>
  <c r="E142" i="10"/>
  <c r="G55" i="10"/>
  <c r="H23" i="1" s="1"/>
  <c r="F55" i="10"/>
  <c r="E55" i="10"/>
  <c r="D16" i="1"/>
  <c r="F79" i="10"/>
  <c r="J13" i="1"/>
  <c r="F62" i="10"/>
  <c r="F3" i="11"/>
  <c r="I12" i="1" l="1"/>
  <c r="I22" i="1"/>
  <c r="H20" i="1"/>
  <c r="I20" i="1"/>
  <c r="H13" i="1"/>
  <c r="I13" i="1"/>
  <c r="H21" i="1"/>
  <c r="I19" i="1"/>
  <c r="H12" i="1"/>
  <c r="I11" i="1"/>
  <c r="I10" i="1"/>
  <c r="H14" i="1"/>
  <c r="H10" i="1"/>
  <c r="H19" i="1"/>
  <c r="H22" i="1"/>
  <c r="I14" i="1"/>
  <c r="I23" i="1"/>
  <c r="H11" i="1"/>
</calcChain>
</file>

<file path=xl/sharedStrings.xml><?xml version="1.0" encoding="utf-8"?>
<sst xmlns="http://schemas.openxmlformats.org/spreadsheetml/2006/main" count="450" uniqueCount="252">
  <si>
    <t>لوحة قيادة الأداء — دعم قرار أصحاب المصلحة</t>
  </si>
  <si>
    <t>نظرة شاملة على أداء المنشأة عبر الأقسام · مبنية على المخرجات والأثر</t>
  </si>
  <si>
    <t>عدد الموظفين</t>
  </si>
  <si>
    <t>متوسط الأداء العام</t>
  </si>
  <si>
    <t>يفوق التوقعات (75+)</t>
  </si>
  <si>
    <t>تحت المستوى (&lt;60)</t>
  </si>
  <si>
    <t>أعلى موظف أداءً</t>
  </si>
  <si>
    <t>مقارنة الأقسام</t>
  </si>
  <si>
    <t>أعلى 5 أداءً</t>
  </si>
  <si>
    <t>القسم</t>
  </si>
  <si>
    <t>المتوسط</t>
  </si>
  <si>
    <t>العدد</t>
  </si>
  <si>
    <t>النتيجة</t>
  </si>
  <si>
    <t>الموظف</t>
  </si>
  <si>
    <t>الدرجة</t>
  </si>
  <si>
    <t>التسويق والمبيعات</t>
  </si>
  <si>
    <t>استقطاب المواهب</t>
  </si>
  <si>
    <t>التعلم والتطوير</t>
  </si>
  <si>
    <t>نجاح العملاء</t>
  </si>
  <si>
    <t>تطوير البرمجيات</t>
  </si>
  <si>
    <t>المالية والمحاسبة</t>
  </si>
  <si>
    <t>الإجمالي</t>
  </si>
  <si>
    <t>قائمة المخاطر — أدنى 5 (تحتاج تدخّل)</t>
  </si>
  <si>
    <t>منهجية مؤشرات الأداء — تحليل سلسلة القيمة (Value Flow-Analysis)</t>
  </si>
  <si>
    <t>إعداد: Abdulrahim Obaid — CPC · HRIS    |    المؤشر يُبنى من القيمة لا من الرقم</t>
  </si>
  <si>
    <t>المستويات الخمسة لبناء أي مؤشر</t>
  </si>
  <si>
    <t>م</t>
  </si>
  <si>
    <t>المستوى</t>
  </si>
  <si>
    <t>السؤال الذي يجيب عليه</t>
  </si>
  <si>
    <t>ماذا نقيس</t>
  </si>
  <si>
    <t>1</t>
  </si>
  <si>
    <t>الأهداف</t>
  </si>
  <si>
    <t>ما الغاية الاستراتيجية المراد تحقيقها؟</t>
  </si>
  <si>
    <t>اتجاه عام</t>
  </si>
  <si>
    <t>2</t>
  </si>
  <si>
    <t>المدخلات</t>
  </si>
  <si>
    <t>ما الموارد البشرية والمالية والتقنية؟</t>
  </si>
  <si>
    <t>موارد (سياق)</t>
  </si>
  <si>
    <t>3</t>
  </si>
  <si>
    <t>العمليات</t>
  </si>
  <si>
    <t>ما الذي يحدث فعلياً داخل التنفيذ؟</t>
  </si>
  <si>
    <t>الوقت والكفاءة</t>
  </si>
  <si>
    <t>4</t>
  </si>
  <si>
    <t>المخرجات</t>
  </si>
  <si>
    <t>ما الذي أُنجِز بشكل مباشر؟</t>
  </si>
  <si>
    <t>نتائج قابلة للعدّ</t>
  </si>
  <si>
    <t>5</t>
  </si>
  <si>
    <t>النتائج والأثر</t>
  </si>
  <si>
    <t>هل انعكس على العميل أو الأعمال؟</t>
  </si>
  <si>
    <t>القيمة المضافة</t>
  </si>
  <si>
    <t>القواعد الذهبية</t>
  </si>
  <si>
    <t>—  ابدأ من الهدف والقيمة، لا من الرقم.</t>
  </si>
  <si>
    <t>—  صفر نقطة على الحضور — الأداء يُقاس بالمخرجات والأثر.</t>
  </si>
  <si>
    <t>—  كل مؤشر يأخذ وزناً نسبياً، ومجموع الأوزان = 100.</t>
  </si>
  <si>
    <t>—  اربط كل مؤشر بموقعه في سلسلة القيمة قبل تحديد وزنه.</t>
  </si>
  <si>
    <t>—  ركّز الأوزان على المخرجات والأثر.</t>
  </si>
  <si>
    <t>—  المؤشر القوي يكشف أين الخلل، لا يراقب النشاط فقط.</t>
  </si>
  <si>
    <t>—  الدرجة تُحتسب آلياً — تقييم بلا عواطف.</t>
  </si>
  <si>
    <t>سلّم التقييم (من 100)</t>
  </si>
  <si>
    <t>90 – 100</t>
  </si>
  <si>
    <t>أداء متميز</t>
  </si>
  <si>
    <t>75 – 89</t>
  </si>
  <si>
    <t>يفوق التوقعات</t>
  </si>
  <si>
    <t>60 – 74</t>
  </si>
  <si>
    <t>يلبّي التوقعات</t>
  </si>
  <si>
    <t>45 – 59</t>
  </si>
  <si>
    <t>يحتاج تطوير</t>
  </si>
  <si>
    <t>أقل من 45</t>
  </si>
  <si>
    <t>غير مُرضٍ</t>
  </si>
  <si>
    <t>دليل المؤشرات المعتمد — مرجع الإعدادات (المصدر الوحيد للأوزان والأهداف)</t>
  </si>
  <si>
    <t>عدّل الوزن أو الهدف هنا فتتحدّث درجات كل الأقسام آلياً · مجموع أوزان كل قسم = 100</t>
  </si>
  <si>
    <t>المؤشر (KPI)</t>
  </si>
  <si>
    <t>مرحلة القيمة</t>
  </si>
  <si>
    <t>الاتجاه</t>
  </si>
  <si>
    <t>الوزن</t>
  </si>
  <si>
    <t>الهدف</t>
  </si>
  <si>
    <t>المبيعات المنسوبة للمحتوى (ر.س)</t>
  </si>
  <si>
    <t>الأثر</t>
  </si>
  <si>
    <t>↑</t>
  </si>
  <si>
    <t>عدد المقاطع المنشورة</t>
  </si>
  <si>
    <t>مبيعات لكل 1000 مشاهدة</t>
  </si>
  <si>
    <t>الكفاءة</t>
  </si>
  <si>
    <t>معدل الطلبات لكل مقطع</t>
  </si>
  <si>
    <t>المتابعون الجدد</t>
  </si>
  <si>
    <t>متوسط قيمة الطلب (ر.س)</t>
  </si>
  <si>
    <t>مجموع الأوزان</t>
  </si>
  <si>
    <t>جودة التوظيف % اجتياز التجربة</t>
  </si>
  <si>
    <t>زمن شغل الوظيفة (يوم)</t>
  </si>
  <si>
    <t>↓</t>
  </si>
  <si>
    <t>عدد التعيينات المكتملة</t>
  </si>
  <si>
    <t>نسبة قبول العروض %</t>
  </si>
  <si>
    <t>تكلفة التوظيف (ر.س)</t>
  </si>
  <si>
    <t>رضا المدير الطالب (1-10)</t>
  </si>
  <si>
    <t>★</t>
  </si>
  <si>
    <t>تحسّن الأداء بعد التدريب %</t>
  </si>
  <si>
    <t>نسبة إكمال البرامج %</t>
  </si>
  <si>
    <t>تغطية خطط التطوير IDP %</t>
  </si>
  <si>
    <t>رضا المتدربين (من 5)</t>
  </si>
  <si>
    <t>ساعات التدريب المنفّذة</t>
  </si>
  <si>
    <t>احتفاظ بالمواهب المدرّبة %</t>
  </si>
  <si>
    <t>نسبة التجديد Retention %</t>
  </si>
  <si>
    <t>الحل من أول تواصل FCR %</t>
  </si>
  <si>
    <t>رضا العملاء CSAT %</t>
  </si>
  <si>
    <t>زمن الاستجابة الأولى (ساعة)</t>
  </si>
  <si>
    <t>صافي الترويج NPS</t>
  </si>
  <si>
    <t>عدد التذاكر المغلقة</t>
  </si>
  <si>
    <t>التسليم في الموعد %</t>
  </si>
  <si>
    <t>استقرار النظام Uptime %</t>
  </si>
  <si>
    <t>الأخطاء بعد الإطلاق</t>
  </si>
  <si>
    <t>الجودة</t>
  </si>
  <si>
    <t>نقاط القصة المنجزة</t>
  </si>
  <si>
    <t>تغطية الاختبارات %</t>
  </si>
  <si>
    <t>جودة الكود ومراجعة PR (1-10)</t>
  </si>
  <si>
    <t>الفواتير المحصّلة في الموعد %</t>
  </si>
  <si>
    <t>دقة التقارير المالية %</t>
  </si>
  <si>
    <t>الإقفال الشهري في الموعد %</t>
  </si>
  <si>
    <t>انحراف الميزانية %</t>
  </si>
  <si>
    <t>معالجة الرواتب بلا أخطاء %</t>
  </si>
  <si>
    <t>الالتزام الزكوي في الموعد %</t>
  </si>
  <si>
    <t>الالتزام</t>
  </si>
  <si>
    <t>بطاقة مؤشرات الأداء — التسويق بالمحتوى والمبيعات    |    المجموع 100 نقطة · صفر على الحضور</t>
  </si>
  <si>
    <t>#</t>
  </si>
  <si>
    <t>اسم الموظف</t>
  </si>
  <si>
    <t>د1</t>
  </si>
  <si>
    <t>د2</t>
  </si>
  <si>
    <t>د3</t>
  </si>
  <si>
    <t>د4</t>
  </si>
  <si>
    <t>د5</t>
  </si>
  <si>
    <t>د6</t>
  </si>
  <si>
    <t>الهدف ← | → الوزن</t>
  </si>
  <si>
    <t>100</t>
  </si>
  <si>
    <t>فهد القحطاني</t>
  </si>
  <si>
    <t>هند القحطاني</t>
  </si>
  <si>
    <t>رغد المطيري</t>
  </si>
  <si>
    <t>وعد البقمي</t>
  </si>
  <si>
    <t>بيان الغامدي</t>
  </si>
  <si>
    <t>عبدالرحمن الحربي</t>
  </si>
  <si>
    <t>ماجد الجهني</t>
  </si>
  <si>
    <t>مها الخالدي</t>
  </si>
  <si>
    <t>مشعل العنزي</t>
  </si>
  <si>
    <t>أمل البقمي</t>
  </si>
  <si>
    <t>وليد الشمري</t>
  </si>
  <si>
    <t>مشعل الشمري</t>
  </si>
  <si>
    <t>ريان الشمري</t>
  </si>
  <si>
    <t>هند الحارثي</t>
  </si>
  <si>
    <t>مها المطيري</t>
  </si>
  <si>
    <t>أمل الحربي</t>
  </si>
  <si>
    <t>فيصل الزائدي</t>
  </si>
  <si>
    <t>رزان الشهراني</t>
  </si>
  <si>
    <t>متوسط القسم  (يتجاهل الصفوف الفارغة)</t>
  </si>
  <si>
    <t>بطاقة مؤشرات الأداء — استقطاب المواهب والتوظيف    |    المجموع 100 نقطة · صفر على الحضور</t>
  </si>
  <si>
    <t>نواف الشهري</t>
  </si>
  <si>
    <t>يزيد المالكي</t>
  </si>
  <si>
    <t>محمد الشهري</t>
  </si>
  <si>
    <t>نواف المالكي</t>
  </si>
  <si>
    <t>عبدالله العنزي</t>
  </si>
  <si>
    <t>ريان الرشيدي</t>
  </si>
  <si>
    <t>نواف الحربي</t>
  </si>
  <si>
    <t>ريم الشمري</t>
  </si>
  <si>
    <t>بندر الرشيدي</t>
  </si>
  <si>
    <t>لطيفة الرشيدي</t>
  </si>
  <si>
    <t>أسماء الرشيدي</t>
  </si>
  <si>
    <t>سلطان الحربي</t>
  </si>
  <si>
    <t>شهد الدوسري</t>
  </si>
  <si>
    <t>سعود الشهراني</t>
  </si>
  <si>
    <t>شهد الجهني</t>
  </si>
  <si>
    <t>ماجد المطيري</t>
  </si>
  <si>
    <t>سلطان السبيعي</t>
  </si>
  <si>
    <t>ناصر الحربي</t>
  </si>
  <si>
    <t>بطاقة مؤشرات الأداء — التعلم والتطوير (L&amp;D)    |    المجموع 100 نقطة · صفر على الحضور</t>
  </si>
  <si>
    <t>ناصر الدوسري</t>
  </si>
  <si>
    <t>سعد المطيري</t>
  </si>
  <si>
    <t>سعود الشهري</t>
  </si>
  <si>
    <t>ماجد الشهراني</t>
  </si>
  <si>
    <t>عبدالعزيز الشهري</t>
  </si>
  <si>
    <t>غادة الحربي</t>
  </si>
  <si>
    <t>عبدالرحمن الشهراني</t>
  </si>
  <si>
    <t>غادة البقمي</t>
  </si>
  <si>
    <t>فهد الشمري</t>
  </si>
  <si>
    <t>لمى الجهني</t>
  </si>
  <si>
    <t>سارة الحارثي</t>
  </si>
  <si>
    <t>نواف العنزي</t>
  </si>
  <si>
    <t>جواهر الزهراني</t>
  </si>
  <si>
    <t>جنى المطيري</t>
  </si>
  <si>
    <t>غادة الرشيدي</t>
  </si>
  <si>
    <t>محمد الخالدي</t>
  </si>
  <si>
    <t>لمى الشهراني</t>
  </si>
  <si>
    <t>سعود الجهني</t>
  </si>
  <si>
    <t>بطاقة مؤشرات الأداء — نجاح وخدمة العملاء    |    المجموع 100 نقطة · صفر على الحضور</t>
  </si>
  <si>
    <t>خالد الزائدي</t>
  </si>
  <si>
    <t>شهد العتيبي</t>
  </si>
  <si>
    <t>وليد الشهراني</t>
  </si>
  <si>
    <t>أمل الشهري</t>
  </si>
  <si>
    <t>سعد السبيعي</t>
  </si>
  <si>
    <t>محمد الحربي</t>
  </si>
  <si>
    <t>نورة الدوسري</t>
  </si>
  <si>
    <t>وليد الشهري</t>
  </si>
  <si>
    <t>مشعل العتيبي</t>
  </si>
  <si>
    <t>العنود الرشيدي</t>
  </si>
  <si>
    <t>نواف العتيبي</t>
  </si>
  <si>
    <t>عبدالعزيز العنزي</t>
  </si>
  <si>
    <t>عبدالرحمن البقمي</t>
  </si>
  <si>
    <t>أمل العمري</t>
  </si>
  <si>
    <t>نواف العمري</t>
  </si>
  <si>
    <t>لمى الشهري</t>
  </si>
  <si>
    <t>فيصل القحطاني</t>
  </si>
  <si>
    <t>خالد الرشيدي</t>
  </si>
  <si>
    <t>بطاقة مؤشرات الأداء — تطوير البرمجيات    |    المجموع 100 نقطة · صفر على الحضور</t>
  </si>
  <si>
    <t>تركي الشهراني</t>
  </si>
  <si>
    <t>طارق الشمري</t>
  </si>
  <si>
    <t>سعد المالكي</t>
  </si>
  <si>
    <t>عبدالرحمن العنزي</t>
  </si>
  <si>
    <t>منيرة السبيعي</t>
  </si>
  <si>
    <t>وليد الجهني</t>
  </si>
  <si>
    <t>تركي الزائدي</t>
  </si>
  <si>
    <t>سلطان المطيري</t>
  </si>
  <si>
    <t>سارة الغامدي</t>
  </si>
  <si>
    <t>العنود العمري</t>
  </si>
  <si>
    <t>لمى السبيعي</t>
  </si>
  <si>
    <t>لطيفة الشهراني</t>
  </si>
  <si>
    <t>خالد الشهراني</t>
  </si>
  <si>
    <t>مشعل العمري</t>
  </si>
  <si>
    <t>سعود الزهراني</t>
  </si>
  <si>
    <t>منيرة العنزي</t>
  </si>
  <si>
    <t>نورة الشهراني</t>
  </si>
  <si>
    <t>بطاقة مؤشرات الأداء — المالية والمحاسبة    |    المجموع 100 نقطة · صفر على الحضور</t>
  </si>
  <si>
    <t>فيصل الدوسري</t>
  </si>
  <si>
    <t>لطيفة الدوسري</t>
  </si>
  <si>
    <t>أمل المالكي</t>
  </si>
  <si>
    <t>أسماء المالكي</t>
  </si>
  <si>
    <t>ناصر الشهراني</t>
  </si>
  <si>
    <t>العنود الجهني</t>
  </si>
  <si>
    <t>جنى الزائدي</t>
  </si>
  <si>
    <t>عبدالله العمري</t>
  </si>
  <si>
    <t>شهد القحطاني</t>
  </si>
  <si>
    <t>وليد البقمي</t>
  </si>
  <si>
    <t>العنود الغامدي</t>
  </si>
  <si>
    <t>العنود الشهراني</t>
  </si>
  <si>
    <t>وعد الزائدي</t>
  </si>
  <si>
    <t>يزيد البقمي</t>
  </si>
  <si>
    <t>لمى القحطاني</t>
  </si>
  <si>
    <t>شهد الحربي</t>
  </si>
  <si>
    <t>قاعدة البيانات المجمّعة — كل الموظفين (تُغذّي لوحة القيادة)</t>
  </si>
  <si>
    <t>الدرجة/100</t>
  </si>
  <si>
    <t>ترتيب عام</t>
  </si>
  <si>
    <t>مفتاح</t>
  </si>
  <si>
    <t>التقييم</t>
  </si>
  <si>
    <t>متميز (90+)</t>
  </si>
  <si>
    <t>يفوق التوقعات (75-89)</t>
  </si>
  <si>
    <t>يلبّي التوقعات (60-74)</t>
  </si>
  <si>
    <t>يحتاج تطوير (45-59)</t>
  </si>
  <si>
    <t>غير مُرضٍ (&lt;45)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</si>
</sst>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##"/>
  </numFmts>
  <fonts count="3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5A5A5A"/>
      <name val="Arial"/>
      <charset val="1"/>
    </font>
    <font>
      <b/>
      <sz val="10"/>
      <color rgb="FFFFFFFF"/>
      <name val="Arial"/>
      <charset val="1"/>
    </font>
    <font>
      <b/>
      <sz val="20"/>
      <color rgb="FF2E75B6"/>
      <name val="Arial"/>
      <charset val="1"/>
    </font>
    <font>
      <b/>
      <sz val="20"/>
      <color rgb="FF1F3A5F"/>
      <name val="Arial"/>
      <charset val="1"/>
    </font>
    <font>
      <b/>
      <sz val="20"/>
      <color rgb="FF1E7B45"/>
      <name val="Arial"/>
      <charset val="1"/>
    </font>
    <font>
      <b/>
      <sz val="20"/>
      <color rgb="FFB42318"/>
      <name val="Arial"/>
      <charset val="1"/>
    </font>
    <font>
      <b/>
      <sz val="12"/>
      <color rgb="FF8A6D1B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2B2B2B"/>
      <name val="Arial"/>
      <charset val="1"/>
    </font>
    <font>
      <b/>
      <sz val="11"/>
      <color rgb="FF1F3A5F"/>
      <name val="Arial"/>
      <charset val="1"/>
    </font>
    <font>
      <sz val="10"/>
      <color rgb="FF2B2B2B"/>
      <name val="Arial"/>
      <charset val="1"/>
    </font>
    <font>
      <b/>
      <sz val="9"/>
      <color rgb="FF2B2B2B"/>
      <name val="Arial"/>
      <charset val="1"/>
    </font>
    <font>
      <sz val="8"/>
      <color rgb="FF5A5A5A"/>
      <name val="Arial"/>
      <charset val="1"/>
    </font>
    <font>
      <b/>
      <sz val="10"/>
      <color rgb="FF1E7B45"/>
      <name val="Arial"/>
      <charset val="1"/>
    </font>
    <font>
      <b/>
      <sz val="10"/>
      <color rgb="FF8A6D1B"/>
      <name val="Arial"/>
      <charset val="1"/>
    </font>
    <font>
      <b/>
      <sz val="11"/>
      <color rgb="FF8A6D1B"/>
      <name val="Arial"/>
      <charset val="1"/>
    </font>
    <font>
      <b/>
      <sz val="10"/>
      <color rgb="FF2B2B2B"/>
      <name val="Arial"/>
      <charset val="1"/>
    </font>
    <font>
      <b/>
      <sz val="9"/>
      <color rgb="FF8A6D1B"/>
      <name val="Arial"/>
      <charset val="1"/>
    </font>
    <font>
      <b/>
      <sz val="11"/>
      <color rgb="FFFFFFFF"/>
      <name val="Arial"/>
      <charset val="1"/>
    </font>
    <font>
      <b/>
      <sz val="10"/>
      <color rgb="FFB42318"/>
      <name val="Arial"/>
      <charset val="1"/>
    </font>
    <font>
      <b/>
      <sz val="15"/>
      <color rgb="FFFFFFFF"/>
      <name val="Arial"/>
      <charset val="1"/>
    </font>
    <font>
      <b/>
      <sz val="12"/>
      <color rgb="FF1F3A5F"/>
      <name val="Arial"/>
      <charset val="1"/>
    </font>
    <font>
      <b/>
      <sz val="10"/>
      <color rgb="FF6A3FB0"/>
      <name val="Arial"/>
      <charset val="1"/>
    </font>
    <font>
      <b/>
      <sz val="13"/>
      <color rgb="FFFFFFFF"/>
      <name val="Arial"/>
      <charset val="1"/>
    </font>
    <font>
      <sz val="9"/>
      <color rgb="FF5A5A5A"/>
      <name val="Arial"/>
      <charset val="1"/>
    </font>
    <font>
      <sz val="9"/>
      <color rgb="FF6A3FB0"/>
      <name val="Arial"/>
      <charset val="1"/>
    </font>
    <font>
      <b/>
      <sz val="8"/>
      <color rgb="FFFFFFFF"/>
      <name val="Arial"/>
      <charset val="1"/>
    </font>
    <font>
      <b/>
      <sz val="8"/>
      <color rgb="FF8A6D1B"/>
      <name val="Arial"/>
      <charset val="1"/>
    </font>
    <font>
      <sz val="8"/>
      <color rgb="FF8A6D1B"/>
      <name val="Arial"/>
      <charset val="1"/>
    </font>
    <font>
      <sz val="8"/>
      <color rgb="FF9A9A9A"/>
      <name val="Arial"/>
      <charset val="1"/>
    </font>
    <font>
      <b/>
      <sz val="10"/>
      <color rgb="FF0B5394"/>
      <name val="Arial"/>
      <charset val="1"/>
    </font>
    <font>
      <b/>
      <sz val="9"/>
      <color rgb="FF1E7B45"/>
      <name val="Arial"/>
      <charset val="1"/>
    </font>
    <font>
      <b/>
      <sz val="10"/>
      <color rgb="FF1F3A5F"/>
      <name val="Arial"/>
      <charset val="1"/>
    </font>
    <font>
      <sz val="9"/>
      <color rgb="FF2E75B6"/>
      <name val="Arial"/>
      <charset val="1"/>
    </font>
    <font>
      <sz val="8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A5F"/>
        <bgColor rgb="FF33415C"/>
      </patternFill>
    </fill>
    <fill>
      <patternFill patternType="solid">
        <fgColor rgb="FF2E75B6"/>
        <bgColor rgb="FF4F81BD"/>
      </patternFill>
    </fill>
    <fill>
      <patternFill patternType="solid">
        <fgColor rgb="FF1E7B45"/>
        <bgColor rgb="FF008080"/>
      </patternFill>
    </fill>
    <fill>
      <patternFill patternType="solid">
        <fgColor rgb="FFB42318"/>
        <bgColor rgb="FFC0504D"/>
      </patternFill>
    </fill>
    <fill>
      <patternFill patternType="solid">
        <fgColor rgb="FF8A6D1B"/>
        <bgColor rgb="FF5A5A5A"/>
      </patternFill>
    </fill>
    <fill>
      <patternFill patternType="solid">
        <fgColor rgb="FFFFFFFF"/>
        <bgColor rgb="FFF4F8FC"/>
      </patternFill>
    </fill>
    <fill>
      <patternFill patternType="solid">
        <fgColor rgb="FF33415C"/>
        <bgColor rgb="FF1F3A5F"/>
      </patternFill>
    </fill>
    <fill>
      <patternFill patternType="solid">
        <fgColor rgb="FFDCE6F2"/>
        <bgColor rgb="FFD6E4F5"/>
      </patternFill>
    </fill>
    <fill>
      <patternFill patternType="solid">
        <fgColor rgb="FFE3F2E9"/>
        <bgColor rgb="FFEDEDED"/>
      </patternFill>
    </fill>
    <fill>
      <patternFill patternType="solid">
        <fgColor rgb="FFF4F8FC"/>
        <bgColor rgb="FFFFFFFF"/>
      </patternFill>
    </fill>
    <fill>
      <patternFill patternType="solid">
        <fgColor rgb="FFFBEFCB"/>
        <bgColor rgb="FFFCF4E1"/>
      </patternFill>
    </fill>
    <fill>
      <patternFill patternType="solid">
        <fgColor rgb="FFFBE8E6"/>
        <bgColor rgb="FFEDEDED"/>
      </patternFill>
    </fill>
    <fill>
      <patternFill patternType="solid">
        <fgColor rgb="FFEDEDED"/>
        <bgColor rgb="FFE3F2E9"/>
      </patternFill>
    </fill>
    <fill>
      <patternFill patternType="solid">
        <fgColor rgb="FFD6E4F5"/>
        <bgColor rgb="FFDCE6F2"/>
      </patternFill>
    </fill>
    <fill>
      <patternFill patternType="solid">
        <fgColor rgb="FFEEE6FA"/>
        <bgColor rgb="FFEDEDED"/>
      </patternFill>
    </fill>
    <fill>
      <patternFill patternType="solid">
        <fgColor rgb="FFFCF4E1"/>
        <bgColor rgb="FFFBEFCB"/>
      </patternFill>
    </fill>
  </fills>
  <borders count="8">
    <border>
      <left/>
      <right/>
      <top/>
      <bottom/>
      <diagonal/>
    </border>
    <border>
      <left style="medium">
        <color rgb="FF33415C"/>
      </left>
      <right style="medium">
        <color rgb="FF33415C"/>
      </right>
      <top style="medium">
        <color rgb="FF33415C"/>
      </top>
      <bottom style="medium">
        <color rgb="FF33415C"/>
      </bottom>
      <diagonal/>
    </border>
    <border>
      <left style="medium">
        <color rgb="FF33415C"/>
      </left>
      <right/>
      <top style="medium">
        <color rgb="FF33415C"/>
      </top>
      <bottom style="medium">
        <color rgb="FF33415C"/>
      </bottom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  <border>
      <left style="thin">
        <color rgb="FFD6DCE5"/>
      </left>
      <right/>
      <top style="thin">
        <color rgb="FFD6DCE5"/>
      </top>
      <bottom style="thin">
        <color rgb="FFD6DCE5"/>
      </bottom>
      <diagonal/>
    </border>
    <border>
      <left style="thin">
        <color rgb="FFD6DCE5"/>
      </left>
      <right style="thin">
        <color rgb="FFD6DCE5"/>
      </right>
      <top style="thin">
        <color rgb="FFD6DCE5"/>
      </top>
      <bottom/>
      <diagonal/>
    </border>
    <border>
      <left style="thin">
        <color rgb="FFD6DCE5"/>
      </left>
      <right style="thin">
        <color rgb="FFD6DCE5"/>
      </right>
      <top/>
      <bottom/>
      <diagonal/>
    </border>
    <border>
      <left style="thin">
        <color rgb="FFD6DCE5"/>
      </left>
      <right style="thin">
        <color rgb="FFD6DCE5"/>
      </right>
      <top/>
      <bottom style="thin">
        <color rgb="FFD6DCE5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1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right" vertical="center"/>
    </xf>
    <xf numFmtId="164" fontId="12" fillId="9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right" vertical="center"/>
    </xf>
    <xf numFmtId="0" fontId="15" fillId="10" borderId="3" xfId="0" applyFont="1" applyFill="1" applyBorder="1" applyAlignment="1">
      <alignment horizontal="center" vertical="center"/>
    </xf>
    <xf numFmtId="164" fontId="16" fillId="10" borderId="3" xfId="0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right" vertical="center"/>
    </xf>
    <xf numFmtId="0" fontId="13" fillId="11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164" fontId="18" fillId="12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right" vertical="center"/>
    </xf>
    <xf numFmtId="0" fontId="15" fillId="13" borderId="3" xfId="0" applyFont="1" applyFill="1" applyBorder="1" applyAlignment="1">
      <alignment horizontal="center" vertical="center"/>
    </xf>
    <xf numFmtId="164" fontId="22" fillId="13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right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right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right" vertical="center" wrapText="1"/>
    </xf>
    <xf numFmtId="0" fontId="28" fillId="16" borderId="3" xfId="0" applyFont="1" applyFill="1" applyBorder="1" applyAlignment="1">
      <alignment horizontal="center" vertical="center"/>
    </xf>
    <xf numFmtId="165" fontId="13" fillId="7" borderId="3" xfId="0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right" vertical="center" wrapText="1"/>
    </xf>
    <xf numFmtId="165" fontId="13" fillId="11" borderId="3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29" fillId="3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0" fillId="12" borderId="3" xfId="0" applyFont="1" applyFill="1" applyBorder="1" applyAlignment="1">
      <alignment horizontal="center" vertical="center"/>
    </xf>
    <xf numFmtId="165" fontId="20" fillId="12" borderId="3" xfId="0" applyNumberFormat="1" applyFont="1" applyFill="1" applyBorder="1" applyAlignment="1">
      <alignment horizontal="center" vertical="center"/>
    </xf>
    <xf numFmtId="0" fontId="31" fillId="12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right" vertical="center"/>
    </xf>
    <xf numFmtId="165" fontId="33" fillId="17" borderId="3" xfId="0" applyNumberFormat="1" applyFont="1" applyFill="1" applyBorder="1" applyAlignment="1">
      <alignment horizontal="center" vertical="center"/>
    </xf>
    <xf numFmtId="0" fontId="34" fillId="10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32" fillId="11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right" vertical="center"/>
    </xf>
    <xf numFmtId="0" fontId="8" fillId="12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35" fillId="9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36" fillId="11" borderId="3" xfId="0" applyFont="1" applyFill="1" applyBorder="1" applyAlignment="1">
      <alignment horizontal="center" vertical="center"/>
    </xf>
    <xf numFmtId="0" fontId="37" fillId="11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13" fillId="11" borderId="4" xfId="0" applyFont="1" applyFill="1" applyBorder="1" applyAlignment="1">
      <alignment horizontal="right" vertical="center" wrapText="1"/>
    </xf>
    <xf numFmtId="0" fontId="13" fillId="7" borderId="4" xfId="0" applyFont="1" applyFill="1" applyBorder="1" applyAlignment="1">
      <alignment horizontal="right" vertical="center" wrapText="1"/>
    </xf>
    <xf numFmtId="0" fontId="8" fillId="12" borderId="0" xfId="0" applyFont="1" applyFill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right" vertical="center"/>
    </xf>
    <xf numFmtId="0" fontId="17" fillId="17" borderId="4" xfId="0" applyFon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right" vertical="center"/>
    </xf>
    <xf numFmtId="0" fontId="17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right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B"/>
      <rgbColor rgb="FF800080"/>
      <rgbColor rgb="FF1E7B45"/>
      <rgbColor rgb="FFD9D9D9"/>
      <rgbColor rgb="FF4F81BD"/>
      <rgbColor rgb="FF9999FF"/>
      <rgbColor rgb="FFC0504D"/>
      <rgbColor rgb="FFFCF4E1"/>
      <rgbColor rgb="FFE3F2E9"/>
      <rgbColor rgb="FF660066"/>
      <rgbColor rgb="FFFF8080"/>
      <rgbColor rgb="FF0B5394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DEDED"/>
      <rgbColor rgb="FFFBEFCB"/>
      <rgbColor rgb="FFD6E4F5"/>
      <rgbColor rgb="FFEEE6FA"/>
      <rgbColor rgb="FFF4F8FC"/>
      <rgbColor rgb="FFFBE8E6"/>
      <rgbColor rgb="FF2E75B6"/>
      <rgbColor rgb="FF4BACC6"/>
      <rgbColor rgb="FF9BBB59"/>
      <rgbColor rgb="FFFFCC00"/>
      <rgbColor rgb="FFFF9900"/>
      <rgbColor rgb="FFFF6600"/>
      <rgbColor rgb="FF8064A2"/>
      <rgbColor rgb="FF9A9A9A"/>
      <rgbColor rgb="FF1F3A5F"/>
      <rgbColor rgb="FF339966"/>
      <rgbColor rgb="FF003300"/>
      <rgbColor rgb="FF5A5A5A"/>
      <rgbColor rgb="FFB42318"/>
      <rgbColor rgb="FF6A3FB0"/>
      <rgbColor rgb="FF33415C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توزيع التقييمات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'بيانات الرسوم'!$F$1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5E3-4D74-9E9F-BCCA5BD7A5C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5E3-4D74-9E9F-BCCA5BD7A5C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5E3-4D74-9E9F-BCCA5BD7A5C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5E3-4D74-9E9F-BCCA5BD7A5C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5E3-4D74-9E9F-BCCA5BD7A5C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5E3-4D74-9E9F-BCCA5BD7A5C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5E3-4D74-9E9F-BCCA5BD7A5C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5E3-4D74-9E9F-BCCA5BD7A5C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5E3-4D74-9E9F-BCCA5BD7A5C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5E3-4D74-9E9F-BCCA5BD7A5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'بيانات الرسوم'!$E$2:$E$6</c:f>
              <c:strCache>
                <c:ptCount val="5"/>
                <c:pt idx="0">
                  <c:v>متميز (90+)</c:v>
                </c:pt>
                <c:pt idx="1">
                  <c:v>يفوق التوقعات (75-89)</c:v>
                </c:pt>
                <c:pt idx="2">
                  <c:v>يلبّي التوقعات (60-74)</c:v>
                </c:pt>
                <c:pt idx="3">
                  <c:v>يحتاج تطوير (45-59)</c:v>
                </c:pt>
                <c:pt idx="4">
                  <c:v>غير مُرضٍ (&lt;45)</c:v>
                </c:pt>
              </c:strCache>
            </c:strRef>
          </c:cat>
          <c:val>
            <c:numRef>
              <c:f>'بيانات الرسوم'!$F$2:$F$6</c:f>
              <c:numCache>
                <c:formatCode>General</c:formatCode>
                <c:ptCount val="5"/>
                <c:pt idx="0">
                  <c:v>25</c:v>
                </c:pt>
                <c:pt idx="1">
                  <c:v>42</c:v>
                </c:pt>
                <c:pt idx="2">
                  <c:v>25</c:v>
                </c:pt>
                <c:pt idx="3">
                  <c:v>11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E3-4D74-9E9F-BCCA5BD7A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-916200</xdr:colOff>
      <xdr:row>24</xdr:row>
      <xdr:rowOff>0</xdr:rowOff>
    </xdr:from>
    <xdr:to>
      <xdr:col>9</xdr:col>
      <xdr:colOff>-809640</xdr:colOff>
      <xdr:row>38</xdr:row>
      <xdr:rowOff>140400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showGridLines="0" rightToLeft="1" zoomScaleNormal="100" workbookViewId="0">
      <selection sqref="A1:J1"/>
    </sheetView>
  </sheetViews>
  <sheetFormatPr defaultColWidth="8.6640625" defaultRowHeight="14.25" x14ac:dyDescent="0.45"/>
  <cols>
    <col min="1" max="1" width="2" customWidth="1"/>
    <col min="2" max="6" width="16" customWidth="1"/>
    <col min="7" max="7" width="3" customWidth="1"/>
    <col min="8" max="8" width="16" customWidth="1"/>
    <col min="9" max="9" width="12" customWidth="1"/>
    <col min="10" max="10" width="13" customWidth="1"/>
  </cols>
  <sheetData>
    <row r="1" spans="1:10" ht="49.5" customHeight="1" x14ac:dyDescent="0.4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.75" customHeight="1" x14ac:dyDescent="0.4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4" customHeight="1" x14ac:dyDescent="0.45">
      <c r="B4" s="12" t="s">
        <v>2</v>
      </c>
      <c r="C4" s="12"/>
      <c r="D4" s="11" t="s">
        <v>3</v>
      </c>
      <c r="E4" s="11"/>
      <c r="F4" s="10" t="s">
        <v>4</v>
      </c>
      <c r="G4" s="10"/>
      <c r="H4" s="9" t="s">
        <v>5</v>
      </c>
      <c r="I4" s="9"/>
      <c r="J4" s="15" t="s">
        <v>6</v>
      </c>
    </row>
    <row r="5" spans="1:10" ht="30" customHeight="1" x14ac:dyDescent="0.45">
      <c r="B5" s="8">
        <f>COUNT('قاعدة البيانات'!$D$3:$D$152)</f>
        <v>105</v>
      </c>
      <c r="C5" s="8"/>
      <c r="D5" s="7">
        <f>ROUND(AVERAGE('قاعدة البيانات'!$D$3:$D$152),1)</f>
        <v>78.400000000000006</v>
      </c>
      <c r="E5" s="7"/>
      <c r="F5" s="6">
        <f>COUNTIF('قاعدة البيانات'!$D$3:$D$152,"&gt;=75")</f>
        <v>67</v>
      </c>
      <c r="G5" s="6"/>
      <c r="H5" s="5">
        <f>COUNTIF('قاعدة البيانات'!$D$3:$D$152,"&lt;60")</f>
        <v>13</v>
      </c>
      <c r="I5" s="5"/>
      <c r="J5" s="4" t="str">
        <f>INDEX('قاعدة البيانات'!$B$3:$B$152,MATCH(MAX('قاعدة البيانات'!$G$3:$G$152),'قاعدة البيانات'!$G$3:$G$152,0))</f>
        <v>مها الخالدي</v>
      </c>
    </row>
    <row r="6" spans="1:10" ht="21.75" customHeight="1" x14ac:dyDescent="0.45">
      <c r="B6" s="8"/>
      <c r="C6" s="8"/>
      <c r="D6" s="7"/>
      <c r="E6" s="7"/>
      <c r="F6" s="6"/>
      <c r="G6" s="6"/>
      <c r="H6" s="5"/>
      <c r="I6" s="5"/>
      <c r="J6" s="4"/>
    </row>
    <row r="8" spans="1:10" ht="15" x14ac:dyDescent="0.45">
      <c r="B8" s="3" t="s">
        <v>7</v>
      </c>
      <c r="C8" s="3"/>
      <c r="D8" s="3"/>
      <c r="E8" s="3"/>
      <c r="H8" s="2" t="s">
        <v>8</v>
      </c>
      <c r="I8" s="2"/>
      <c r="J8" s="2"/>
    </row>
    <row r="9" spans="1:10" x14ac:dyDescent="0.45">
      <c r="B9" s="16" t="s">
        <v>9</v>
      </c>
      <c r="C9" s="16" t="s">
        <v>10</v>
      </c>
      <c r="D9" s="16" t="s">
        <v>11</v>
      </c>
      <c r="E9" s="16" t="s">
        <v>12</v>
      </c>
      <c r="H9" s="16" t="s">
        <v>13</v>
      </c>
      <c r="I9" s="16" t="s">
        <v>9</v>
      </c>
      <c r="J9" s="16" t="s">
        <v>14</v>
      </c>
    </row>
    <row r="10" spans="1:10" x14ac:dyDescent="0.45">
      <c r="B10" s="17" t="s">
        <v>15</v>
      </c>
      <c r="C10" s="18">
        <f>'التسويق والمبيعات'!O30</f>
        <v>80.400000000000006</v>
      </c>
      <c r="D10" s="19">
        <f>COUNTA('التسويق والمبيعات'!B4:B28)</f>
        <v>18</v>
      </c>
      <c r="E10" s="20" t="str">
        <f t="shared" ref="E10:E16" si="0">IF(C10="","",IF(C10&gt;=90,"أداء متميز",IF(C10&gt;=75,"يفوق التوقعات",IF(C10&gt;=60,"يلبّي التوقعات",IF(C10&gt;=45,"يحتاج تطوير","غير مُرضٍ")))))</f>
        <v>يفوق التوقعات</v>
      </c>
      <c r="H10" s="21" t="str">
        <f>IFERROR(INDEX('قاعدة البيانات'!$B$3:$B$152,MATCH(LARGE('قاعدة البيانات'!$G$3:$G$152,1),'قاعدة البيانات'!$G$3:$G$152,0)),"")</f>
        <v>مها الخالدي</v>
      </c>
      <c r="I10" s="22" t="str">
        <f>IFERROR(INDEX('قاعدة البيانات'!$C$3:$C$152,MATCH(LARGE('قاعدة البيانات'!$G$3:$G$152,1),'قاعدة البيانات'!$G$3:$G$152,0)),"")</f>
        <v>التسويق والمبيعات</v>
      </c>
      <c r="J10" s="23">
        <f>IFERROR(ROUND(LARGE('قاعدة البيانات'!$D$3:$D$152,1),1),"")</f>
        <v>100</v>
      </c>
    </row>
    <row r="11" spans="1:10" x14ac:dyDescent="0.45">
      <c r="B11" s="24" t="s">
        <v>16</v>
      </c>
      <c r="C11" s="18">
        <f>'استقطاب المواهب'!O30</f>
        <v>75.2</v>
      </c>
      <c r="D11" s="25">
        <f>COUNTA('استقطاب المواهب'!B4:B28)</f>
        <v>18</v>
      </c>
      <c r="E11" s="26" t="str">
        <f t="shared" si="0"/>
        <v>يفوق التوقعات</v>
      </c>
      <c r="H11" s="21" t="str">
        <f>IFERROR(INDEX('قاعدة البيانات'!$B$3:$B$152,MATCH(LARGE('قاعدة البيانات'!$G$3:$G$152,2),'قاعدة البيانات'!$G$3:$G$152,0)),"")</f>
        <v>سعود الشهراني</v>
      </c>
      <c r="I11" s="22" t="str">
        <f>IFERROR(INDEX('قاعدة البيانات'!$C$3:$C$152,MATCH(LARGE('قاعدة البيانات'!$G$3:$G$152,2),'قاعدة البيانات'!$G$3:$G$152,0)),"")</f>
        <v>استقطاب المواهب</v>
      </c>
      <c r="J11" s="23">
        <f>IFERROR(ROUND(LARGE('قاعدة البيانات'!$D$3:$D$152,2),1),"")</f>
        <v>99.8</v>
      </c>
    </row>
    <row r="12" spans="1:10" x14ac:dyDescent="0.45">
      <c r="B12" s="17" t="s">
        <v>17</v>
      </c>
      <c r="C12" s="18">
        <f>'التعلم والتطوير'!O30</f>
        <v>75.8</v>
      </c>
      <c r="D12" s="19">
        <f>COUNTA('التعلم والتطوير'!B4:B28)</f>
        <v>18</v>
      </c>
      <c r="E12" s="20" t="str">
        <f t="shared" si="0"/>
        <v>يفوق التوقعات</v>
      </c>
      <c r="H12" s="21" t="str">
        <f>IFERROR(INDEX('قاعدة البيانات'!$B$3:$B$152,MATCH(LARGE('قاعدة البيانات'!$G$3:$G$152,3),'قاعدة البيانات'!$G$3:$G$152,0)),"")</f>
        <v>عبدالله العنزي</v>
      </c>
      <c r="I12" s="22" t="str">
        <f>IFERROR(INDEX('قاعدة البيانات'!$C$3:$C$152,MATCH(LARGE('قاعدة البيانات'!$G$3:$G$152,3),'قاعدة البيانات'!$G$3:$G$152,0)),"")</f>
        <v>استقطاب المواهب</v>
      </c>
      <c r="J12" s="23">
        <f>IFERROR(ROUND(LARGE('قاعدة البيانات'!$D$3:$D$152,3),1),"")</f>
        <v>99.5</v>
      </c>
    </row>
    <row r="13" spans="1:10" x14ac:dyDescent="0.45">
      <c r="B13" s="24" t="s">
        <v>18</v>
      </c>
      <c r="C13" s="18">
        <f>'نجاح العملاء'!O30</f>
        <v>77.599999999999994</v>
      </c>
      <c r="D13" s="25">
        <f>COUNTA('نجاح العملاء'!B4:B28)</f>
        <v>18</v>
      </c>
      <c r="E13" s="26" t="str">
        <f t="shared" si="0"/>
        <v>يفوق التوقعات</v>
      </c>
      <c r="H13" s="21" t="str">
        <f>IFERROR(INDEX('قاعدة البيانات'!$B$3:$B$152,MATCH(LARGE('قاعدة البيانات'!$G$3:$G$152,4),'قاعدة البيانات'!$G$3:$G$152,0)),"")</f>
        <v>طارق الشمري</v>
      </c>
      <c r="I13" s="22" t="str">
        <f>IFERROR(INDEX('قاعدة البيانات'!$C$3:$C$152,MATCH(LARGE('قاعدة البيانات'!$G$3:$G$152,4),'قاعدة البيانات'!$G$3:$G$152,0)),"")</f>
        <v>تطوير البرمجيات</v>
      </c>
      <c r="J13" s="23">
        <f>IFERROR(ROUND(LARGE('قاعدة البيانات'!$D$3:$D$152,4),1),"")</f>
        <v>99.4</v>
      </c>
    </row>
    <row r="14" spans="1:10" x14ac:dyDescent="0.45">
      <c r="B14" s="17" t="s">
        <v>19</v>
      </c>
      <c r="C14" s="18">
        <f>'تطوير البرمجيات'!O30</f>
        <v>84.3</v>
      </c>
      <c r="D14" s="19">
        <f>COUNTA('تطوير البرمجيات'!B4:B28)</f>
        <v>17</v>
      </c>
      <c r="E14" s="20" t="str">
        <f t="shared" si="0"/>
        <v>يفوق التوقعات</v>
      </c>
      <c r="H14" s="21" t="str">
        <f>IFERROR(INDEX('قاعدة البيانات'!$B$3:$B$152,MATCH(LARGE('قاعدة البيانات'!$G$3:$G$152,5),'قاعدة البيانات'!$G$3:$G$152,0)),"")</f>
        <v>سعود الزهراني</v>
      </c>
      <c r="I14" s="22" t="str">
        <f>IFERROR(INDEX('قاعدة البيانات'!$C$3:$C$152,MATCH(LARGE('قاعدة البيانات'!$G$3:$G$152,5),'قاعدة البيانات'!$G$3:$G$152,0)),"")</f>
        <v>تطوير البرمجيات</v>
      </c>
      <c r="J14" s="23">
        <f>IFERROR(ROUND(LARGE('قاعدة البيانات'!$D$3:$D$152,5),1),"")</f>
        <v>99.3</v>
      </c>
    </row>
    <row r="15" spans="1:10" x14ac:dyDescent="0.45">
      <c r="B15" s="24" t="s">
        <v>20</v>
      </c>
      <c r="C15" s="18">
        <f>'المالية والمحاسبة'!O30</f>
        <v>77.599999999999994</v>
      </c>
      <c r="D15" s="25">
        <f>COUNTA('المالية والمحاسبة'!B4:B28)</f>
        <v>16</v>
      </c>
      <c r="E15" s="26" t="str">
        <f t="shared" si="0"/>
        <v>يفوق التوقعات</v>
      </c>
    </row>
    <row r="16" spans="1:10" x14ac:dyDescent="0.45">
      <c r="B16" s="27" t="s">
        <v>21</v>
      </c>
      <c r="C16" s="28">
        <f>ROUND(AVERAGE('قاعدة البيانات'!$D$3:$D$152),1)</f>
        <v>78.400000000000006</v>
      </c>
      <c r="D16" s="29">
        <f>COUNT('قاعدة البيانات'!$D$3:$D$152)</f>
        <v>105</v>
      </c>
      <c r="E16" s="30" t="str">
        <f t="shared" si="0"/>
        <v>يفوق التوقعات</v>
      </c>
    </row>
    <row r="17" spans="8:10" x14ac:dyDescent="0.45">
      <c r="H17" s="1" t="s">
        <v>22</v>
      </c>
      <c r="I17" s="1"/>
      <c r="J17" s="1"/>
    </row>
    <row r="18" spans="8:10" x14ac:dyDescent="0.45">
      <c r="H18" s="16" t="s">
        <v>13</v>
      </c>
      <c r="I18" s="16" t="s">
        <v>9</v>
      </c>
      <c r="J18" s="16" t="s">
        <v>14</v>
      </c>
    </row>
    <row r="19" spans="8:10" x14ac:dyDescent="0.45">
      <c r="H19" s="31" t="str">
        <f>IFERROR(INDEX('قاعدة البيانات'!$B$3:$B$152,MATCH(SMALL('قاعدة البيانات'!$G$3:$G$152,1),'قاعدة البيانات'!$G$3:$G$152,0)),"")</f>
        <v>ناصر الحربي</v>
      </c>
      <c r="I19" s="32" t="str">
        <f>IFERROR(INDEX('قاعدة البيانات'!$C$3:$C$152,MATCH(SMALL('قاعدة البيانات'!$G$3:$G$152,1),'قاعدة البيانات'!$G$3:$G$152,0)),"")</f>
        <v>استقطاب المواهب</v>
      </c>
      <c r="J19" s="33">
        <f>IFERROR(ROUND(SMALL('قاعدة البيانات'!$D$3:$D$152,1),1),"")</f>
        <v>40.5</v>
      </c>
    </row>
    <row r="20" spans="8:10" x14ac:dyDescent="0.45">
      <c r="H20" s="31" t="str">
        <f>IFERROR(INDEX('قاعدة البيانات'!$B$3:$B$152,MATCH(SMALL('قاعدة البيانات'!$G$3:$G$152,2),'قاعدة البيانات'!$G$3:$G$152,0)),"")</f>
        <v>بندر الرشيدي</v>
      </c>
      <c r="I20" s="32" t="str">
        <f>IFERROR(INDEX('قاعدة البيانات'!$C$3:$C$152,MATCH(SMALL('قاعدة البيانات'!$G$3:$G$152,2),'قاعدة البيانات'!$G$3:$G$152,0)),"")</f>
        <v>استقطاب المواهب</v>
      </c>
      <c r="J20" s="33">
        <f>IFERROR(ROUND(SMALL('قاعدة البيانات'!$D$3:$D$152,2),1),"")</f>
        <v>43.1</v>
      </c>
    </row>
    <row r="21" spans="8:10" x14ac:dyDescent="0.45">
      <c r="H21" s="31" t="str">
        <f>IFERROR(INDEX('قاعدة البيانات'!$B$3:$B$152,MATCH(SMALL('قاعدة البيانات'!$G$3:$G$152,3),'قاعدة البيانات'!$G$3:$G$152,0)),"")</f>
        <v>غادة الحربي</v>
      </c>
      <c r="I21" s="32" t="str">
        <f>IFERROR(INDEX('قاعدة البيانات'!$C$3:$C$152,MATCH(SMALL('قاعدة البيانات'!$G$3:$G$152,3),'قاعدة البيانات'!$G$3:$G$152,0)),"")</f>
        <v>التعلم والتطوير</v>
      </c>
      <c r="J21" s="33">
        <f>IFERROR(ROUND(SMALL('قاعدة البيانات'!$D$3:$D$152,3),1),"")</f>
        <v>46.2</v>
      </c>
    </row>
    <row r="22" spans="8:10" x14ac:dyDescent="0.45">
      <c r="H22" s="31" t="str">
        <f>IFERROR(INDEX('قاعدة البيانات'!$B$3:$B$152,MATCH(SMALL('قاعدة البيانات'!$G$3:$G$152,4),'قاعدة البيانات'!$G$3:$G$152,0)),"")</f>
        <v>شهد القحطاني</v>
      </c>
      <c r="I22" s="32" t="str">
        <f>IFERROR(INDEX('قاعدة البيانات'!$C$3:$C$152,MATCH(SMALL('قاعدة البيانات'!$G$3:$G$152,4),'قاعدة البيانات'!$G$3:$G$152,0)),"")</f>
        <v>المالية والمحاسبة</v>
      </c>
      <c r="J22" s="33">
        <f>IFERROR(ROUND(SMALL('قاعدة البيانات'!$D$3:$D$152,4),1),"")</f>
        <v>48.1</v>
      </c>
    </row>
    <row r="23" spans="8:10" x14ac:dyDescent="0.45">
      <c r="H23" s="31" t="str">
        <f>IFERROR(INDEX('قاعدة البيانات'!$B$3:$B$152,MATCH(SMALL('قاعدة البيانات'!$G$3:$G$152,5),'قاعدة البيانات'!$G$3:$G$152,0)),"")</f>
        <v>مشعل العتيبي</v>
      </c>
      <c r="I23" s="32" t="str">
        <f>IFERROR(INDEX('قاعدة البيانات'!$C$3:$C$152,MATCH(SMALL('قاعدة البيانات'!$G$3:$G$152,5),'قاعدة البيانات'!$G$3:$G$152,0)),"")</f>
        <v>نجاح العملاء</v>
      </c>
      <c r="J23" s="33">
        <f>IFERROR(ROUND(SMALL('قاعدة البيانات'!$D$3:$D$152,5),1),"")</f>
        <v>48.7</v>
      </c>
    </row>
  </sheetData>
  <mergeCells count="14">
    <mergeCell ref="B8:E8"/>
    <mergeCell ref="H8:J8"/>
    <mergeCell ref="H17:J17"/>
    <mergeCell ref="B5:C6"/>
    <mergeCell ref="D5:E6"/>
    <mergeCell ref="F5:G6"/>
    <mergeCell ref="H5:I6"/>
    <mergeCell ref="J5:J6"/>
    <mergeCell ref="A1:J1"/>
    <mergeCell ref="A2:J2"/>
    <mergeCell ref="B4:C4"/>
    <mergeCell ref="D4:E4"/>
    <mergeCell ref="F4:G4"/>
    <mergeCell ref="H4:I4"/>
  </mergeCells>
  <conditionalFormatting sqref="C10:C15">
    <cfRule type="colorScale" priority="2">
      <colorScale>
        <cfvo type="num" val="50"/>
        <cfvo type="num" val="70"/>
        <cfvo type="num" val="90"/>
        <color rgb="FFF2A9A2"/>
        <color rgb="FFFBE3A6"/>
        <color rgb="FFA6D2B4"/>
      </colorScale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showGridLines="0" rightToLeft="1" zoomScaleNormal="100" workbookViewId="0">
      <selection sqref="A1:D1"/>
    </sheetView>
  </sheetViews>
  <sheetFormatPr defaultColWidth="8.6640625" defaultRowHeight="14.25" x14ac:dyDescent="0.45"/>
  <cols>
    <col min="1" max="1" width="3" customWidth="1"/>
    <col min="2" max="2" width="28" customWidth="1"/>
    <col min="3" max="3" width="46" customWidth="1"/>
    <col min="4" max="4" width="16" customWidth="1"/>
  </cols>
  <sheetData>
    <row r="1" spans="1:4" ht="45.75" customHeight="1" x14ac:dyDescent="0.45">
      <c r="A1" s="74" t="s">
        <v>23</v>
      </c>
      <c r="B1" s="74"/>
      <c r="C1" s="74"/>
      <c r="D1" s="74"/>
    </row>
    <row r="2" spans="1:4" ht="21.75" customHeight="1" x14ac:dyDescent="0.45">
      <c r="A2" s="75" t="s">
        <v>24</v>
      </c>
      <c r="B2" s="75"/>
      <c r="C2" s="75"/>
      <c r="D2" s="75"/>
    </row>
    <row r="4" spans="1:4" ht="27.75" customHeight="1" x14ac:dyDescent="0.45">
      <c r="A4" s="76" t="s">
        <v>25</v>
      </c>
      <c r="B4" s="76"/>
      <c r="C4" s="76"/>
      <c r="D4" s="76"/>
    </row>
    <row r="5" spans="1:4" x14ac:dyDescent="0.45">
      <c r="A5" s="34" t="s">
        <v>26</v>
      </c>
      <c r="B5" s="34" t="s">
        <v>27</v>
      </c>
      <c r="C5" s="34" t="s">
        <v>28</v>
      </c>
      <c r="D5" s="34" t="s">
        <v>29</v>
      </c>
    </row>
    <row r="6" spans="1:4" ht="30" customHeight="1" x14ac:dyDescent="0.45">
      <c r="A6" s="35" t="s">
        <v>30</v>
      </c>
      <c r="B6" s="36" t="s">
        <v>31</v>
      </c>
      <c r="C6" s="37" t="s">
        <v>32</v>
      </c>
      <c r="D6" s="38" t="s">
        <v>33</v>
      </c>
    </row>
    <row r="7" spans="1:4" ht="30" customHeight="1" x14ac:dyDescent="0.45">
      <c r="A7" s="39" t="s">
        <v>34</v>
      </c>
      <c r="B7" s="36" t="s">
        <v>35</v>
      </c>
      <c r="C7" s="40" t="s">
        <v>36</v>
      </c>
      <c r="D7" s="41" t="s">
        <v>37</v>
      </c>
    </row>
    <row r="8" spans="1:4" ht="30" customHeight="1" x14ac:dyDescent="0.45">
      <c r="A8" s="35" t="s">
        <v>38</v>
      </c>
      <c r="B8" s="36" t="s">
        <v>39</v>
      </c>
      <c r="C8" s="37" t="s">
        <v>40</v>
      </c>
      <c r="D8" s="38" t="s">
        <v>41</v>
      </c>
    </row>
    <row r="9" spans="1:4" ht="30" customHeight="1" x14ac:dyDescent="0.45">
      <c r="A9" s="39" t="s">
        <v>42</v>
      </c>
      <c r="B9" s="36" t="s">
        <v>43</v>
      </c>
      <c r="C9" s="40" t="s">
        <v>44</v>
      </c>
      <c r="D9" s="41" t="s">
        <v>45</v>
      </c>
    </row>
    <row r="10" spans="1:4" ht="30" customHeight="1" x14ac:dyDescent="0.45">
      <c r="A10" s="35" t="s">
        <v>46</v>
      </c>
      <c r="B10" s="36" t="s">
        <v>47</v>
      </c>
      <c r="C10" s="37" t="s">
        <v>48</v>
      </c>
      <c r="D10" s="38" t="s">
        <v>49</v>
      </c>
    </row>
    <row r="12" spans="1:4" ht="25.5" customHeight="1" x14ac:dyDescent="0.45">
      <c r="A12" s="76" t="s">
        <v>50</v>
      </c>
      <c r="B12" s="76"/>
      <c r="C12" s="76"/>
      <c r="D12" s="76"/>
    </row>
    <row r="13" spans="1:4" ht="19.5" customHeight="1" x14ac:dyDescent="0.45">
      <c r="A13" s="77" t="s">
        <v>51</v>
      </c>
      <c r="B13" s="77"/>
      <c r="C13" s="77"/>
      <c r="D13" s="77"/>
    </row>
    <row r="14" spans="1:4" ht="19.5" customHeight="1" x14ac:dyDescent="0.45">
      <c r="A14" s="78" t="s">
        <v>52</v>
      </c>
      <c r="B14" s="78"/>
      <c r="C14" s="78"/>
      <c r="D14" s="78"/>
    </row>
    <row r="15" spans="1:4" ht="19.5" customHeight="1" x14ac:dyDescent="0.45">
      <c r="A15" s="77" t="s">
        <v>53</v>
      </c>
      <c r="B15" s="77"/>
      <c r="C15" s="77"/>
      <c r="D15" s="77"/>
    </row>
    <row r="16" spans="1:4" ht="19.5" customHeight="1" x14ac:dyDescent="0.45">
      <c r="A16" s="78" t="s">
        <v>54</v>
      </c>
      <c r="B16" s="78"/>
      <c r="C16" s="78"/>
      <c r="D16" s="78"/>
    </row>
    <row r="17" spans="1:4" ht="19.5" customHeight="1" x14ac:dyDescent="0.45">
      <c r="A17" s="77" t="s">
        <v>55</v>
      </c>
      <c r="B17" s="77"/>
      <c r="C17" s="77"/>
      <c r="D17" s="77"/>
    </row>
    <row r="18" spans="1:4" ht="19.5" customHeight="1" x14ac:dyDescent="0.45">
      <c r="A18" s="78" t="s">
        <v>56</v>
      </c>
      <c r="B18" s="78"/>
      <c r="C18" s="78"/>
      <c r="D18" s="78"/>
    </row>
    <row r="19" spans="1:4" ht="19.5" customHeight="1" x14ac:dyDescent="0.45">
      <c r="A19" s="77" t="s">
        <v>57</v>
      </c>
      <c r="B19" s="77"/>
      <c r="C19" s="77"/>
      <c r="D19" s="77"/>
    </row>
    <row r="21" spans="1:4" ht="25.5" customHeight="1" x14ac:dyDescent="0.45">
      <c r="A21" s="79" t="s">
        <v>58</v>
      </c>
      <c r="B21" s="79"/>
      <c r="C21" s="79"/>
      <c r="D21" s="79"/>
    </row>
    <row r="22" spans="1:4" x14ac:dyDescent="0.45">
      <c r="A22" s="80" t="s">
        <v>59</v>
      </c>
      <c r="B22" s="80"/>
      <c r="C22" s="81" t="s">
        <v>60</v>
      </c>
      <c r="D22" s="81"/>
    </row>
    <row r="23" spans="1:4" x14ac:dyDescent="0.45">
      <c r="A23" s="80" t="s">
        <v>61</v>
      </c>
      <c r="B23" s="80"/>
      <c r="C23" s="81" t="s">
        <v>62</v>
      </c>
      <c r="D23" s="81"/>
    </row>
    <row r="24" spans="1:4" x14ac:dyDescent="0.45">
      <c r="A24" s="82" t="s">
        <v>63</v>
      </c>
      <c r="B24" s="82"/>
      <c r="C24" s="83" t="s">
        <v>64</v>
      </c>
      <c r="D24" s="83"/>
    </row>
    <row r="25" spans="1:4" x14ac:dyDescent="0.45">
      <c r="A25" s="82" t="s">
        <v>65</v>
      </c>
      <c r="B25" s="82"/>
      <c r="C25" s="83" t="s">
        <v>66</v>
      </c>
      <c r="D25" s="83"/>
    </row>
    <row r="26" spans="1:4" x14ac:dyDescent="0.45">
      <c r="A26" s="84" t="s">
        <v>67</v>
      </c>
      <c r="B26" s="84"/>
      <c r="C26" s="85" t="s">
        <v>68</v>
      </c>
      <c r="D26" s="85"/>
    </row>
  </sheetData>
  <mergeCells count="22">
    <mergeCell ref="A24:B24"/>
    <mergeCell ref="C24:D24"/>
    <mergeCell ref="A25:B25"/>
    <mergeCell ref="C25:D25"/>
    <mergeCell ref="A26:B26"/>
    <mergeCell ref="C26:D26"/>
    <mergeCell ref="A19:D19"/>
    <mergeCell ref="A21:D21"/>
    <mergeCell ref="A22:B22"/>
    <mergeCell ref="C22:D22"/>
    <mergeCell ref="A23:B23"/>
    <mergeCell ref="C23:D23"/>
    <mergeCell ref="A14:D14"/>
    <mergeCell ref="A15:D15"/>
    <mergeCell ref="A16:D16"/>
    <mergeCell ref="A17:D17"/>
    <mergeCell ref="A18:D18"/>
    <mergeCell ref="A1:D1"/>
    <mergeCell ref="A2:D2"/>
    <mergeCell ref="A4:D4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showGridLines="0" rightToLeft="1" zoomScaleNormal="100" workbookViewId="0">
      <pane ySplit="3" topLeftCell="A4" activePane="bottomLeft" state="frozen"/>
      <selection pane="bottomLeft" activeCell="A11" sqref="A11:A16"/>
    </sheetView>
  </sheetViews>
  <sheetFormatPr defaultColWidth="8.6640625" defaultRowHeight="14.25" x14ac:dyDescent="0.45"/>
  <cols>
    <col min="1" max="1" width="22" customWidth="1"/>
    <col min="2" max="2" width="34" customWidth="1"/>
    <col min="3" max="3" width="13" customWidth="1"/>
    <col min="4" max="5" width="9" customWidth="1"/>
    <col min="6" max="6" width="12" customWidth="1"/>
  </cols>
  <sheetData>
    <row r="1" spans="1:6" ht="37.5" customHeight="1" x14ac:dyDescent="0.45">
      <c r="A1" s="86" t="s">
        <v>69</v>
      </c>
      <c r="B1" s="86"/>
      <c r="C1" s="86"/>
      <c r="D1" s="86"/>
      <c r="E1" s="86"/>
      <c r="F1" s="86"/>
    </row>
    <row r="2" spans="1:6" ht="19.5" customHeight="1" x14ac:dyDescent="0.45">
      <c r="A2" s="87" t="s">
        <v>70</v>
      </c>
      <c r="B2" s="87"/>
      <c r="C2" s="87"/>
      <c r="D2" s="87"/>
      <c r="E2" s="87"/>
      <c r="F2" s="87"/>
    </row>
    <row r="3" spans="1:6" x14ac:dyDescent="0.45">
      <c r="A3" s="34" t="s">
        <v>9</v>
      </c>
      <c r="B3" s="34" t="s">
        <v>71</v>
      </c>
      <c r="C3" s="34" t="s">
        <v>72</v>
      </c>
      <c r="D3" s="34" t="s">
        <v>73</v>
      </c>
      <c r="E3" s="34" t="s">
        <v>74</v>
      </c>
      <c r="F3" s="34" t="s">
        <v>75</v>
      </c>
    </row>
    <row r="4" spans="1:6" x14ac:dyDescent="0.45">
      <c r="A4" s="90" t="s">
        <v>15</v>
      </c>
      <c r="B4" s="42" t="s">
        <v>76</v>
      </c>
      <c r="C4" s="43" t="s">
        <v>77</v>
      </c>
      <c r="D4" s="35" t="s">
        <v>78</v>
      </c>
      <c r="E4" s="35">
        <v>30</v>
      </c>
      <c r="F4" s="44">
        <v>60000</v>
      </c>
    </row>
    <row r="5" spans="1:6" x14ac:dyDescent="0.45">
      <c r="A5" s="91"/>
      <c r="B5" s="45" t="s">
        <v>79</v>
      </c>
      <c r="C5" s="43" t="s">
        <v>39</v>
      </c>
      <c r="D5" s="39" t="s">
        <v>78</v>
      </c>
      <c r="E5" s="39">
        <v>20</v>
      </c>
      <c r="F5" s="46">
        <v>90</v>
      </c>
    </row>
    <row r="6" spans="1:6" x14ac:dyDescent="0.45">
      <c r="A6" s="91"/>
      <c r="B6" s="42" t="s">
        <v>80</v>
      </c>
      <c r="C6" s="43" t="s">
        <v>81</v>
      </c>
      <c r="D6" s="35" t="s">
        <v>78</v>
      </c>
      <c r="E6" s="35">
        <v>15</v>
      </c>
      <c r="F6" s="44">
        <v>50</v>
      </c>
    </row>
    <row r="7" spans="1:6" x14ac:dyDescent="0.45">
      <c r="A7" s="91"/>
      <c r="B7" s="45" t="s">
        <v>82</v>
      </c>
      <c r="C7" s="43" t="s">
        <v>81</v>
      </c>
      <c r="D7" s="39" t="s">
        <v>78</v>
      </c>
      <c r="E7" s="39">
        <v>15</v>
      </c>
      <c r="F7" s="46">
        <v>9</v>
      </c>
    </row>
    <row r="8" spans="1:6" x14ac:dyDescent="0.45">
      <c r="A8" s="91"/>
      <c r="B8" s="42" t="s">
        <v>83</v>
      </c>
      <c r="C8" s="43" t="s">
        <v>43</v>
      </c>
      <c r="D8" s="35" t="s">
        <v>78</v>
      </c>
      <c r="E8" s="35">
        <v>10</v>
      </c>
      <c r="F8" s="44">
        <v>5000</v>
      </c>
    </row>
    <row r="9" spans="1:6" x14ac:dyDescent="0.45">
      <c r="A9" s="92"/>
      <c r="B9" s="45" t="s">
        <v>84</v>
      </c>
      <c r="C9" s="43" t="s">
        <v>77</v>
      </c>
      <c r="D9" s="39" t="s">
        <v>78</v>
      </c>
      <c r="E9" s="39">
        <v>10</v>
      </c>
      <c r="F9" s="46">
        <v>155</v>
      </c>
    </row>
    <row r="10" spans="1:6" x14ac:dyDescent="0.45">
      <c r="A10" s="88" t="s">
        <v>85</v>
      </c>
      <c r="B10" s="88"/>
      <c r="C10" s="88"/>
      <c r="D10" s="88"/>
      <c r="E10" s="27">
        <f>SUM(E4:E9)</f>
        <v>100</v>
      </c>
      <c r="F10" s="47"/>
    </row>
    <row r="11" spans="1:6" x14ac:dyDescent="0.45">
      <c r="A11" s="93" t="s">
        <v>16</v>
      </c>
      <c r="B11" s="45" t="s">
        <v>86</v>
      </c>
      <c r="C11" s="43" t="s">
        <v>77</v>
      </c>
      <c r="D11" s="39" t="s">
        <v>78</v>
      </c>
      <c r="E11" s="39">
        <v>25</v>
      </c>
      <c r="F11" s="46">
        <v>90</v>
      </c>
    </row>
    <row r="12" spans="1:6" x14ac:dyDescent="0.45">
      <c r="A12" s="94"/>
      <c r="B12" s="42" t="s">
        <v>87</v>
      </c>
      <c r="C12" s="43" t="s">
        <v>39</v>
      </c>
      <c r="D12" s="35" t="s">
        <v>88</v>
      </c>
      <c r="E12" s="35">
        <v>20</v>
      </c>
      <c r="F12" s="44">
        <v>30</v>
      </c>
    </row>
    <row r="13" spans="1:6" x14ac:dyDescent="0.45">
      <c r="A13" s="94"/>
      <c r="B13" s="45" t="s">
        <v>89</v>
      </c>
      <c r="C13" s="43" t="s">
        <v>43</v>
      </c>
      <c r="D13" s="39" t="s">
        <v>78</v>
      </c>
      <c r="E13" s="39">
        <v>15</v>
      </c>
      <c r="F13" s="46">
        <v>8</v>
      </c>
    </row>
    <row r="14" spans="1:6" x14ac:dyDescent="0.45">
      <c r="A14" s="94"/>
      <c r="B14" s="42" t="s">
        <v>90</v>
      </c>
      <c r="C14" s="43" t="s">
        <v>39</v>
      </c>
      <c r="D14" s="35" t="s">
        <v>78</v>
      </c>
      <c r="E14" s="35">
        <v>15</v>
      </c>
      <c r="F14" s="44">
        <v>80</v>
      </c>
    </row>
    <row r="15" spans="1:6" x14ac:dyDescent="0.45">
      <c r="A15" s="94"/>
      <c r="B15" s="45" t="s">
        <v>91</v>
      </c>
      <c r="C15" s="43" t="s">
        <v>35</v>
      </c>
      <c r="D15" s="39" t="s">
        <v>88</v>
      </c>
      <c r="E15" s="39">
        <v>15</v>
      </c>
      <c r="F15" s="46">
        <v>4000</v>
      </c>
    </row>
    <row r="16" spans="1:6" x14ac:dyDescent="0.45">
      <c r="A16" s="95"/>
      <c r="B16" s="42" t="s">
        <v>92</v>
      </c>
      <c r="C16" s="43" t="s">
        <v>77</v>
      </c>
      <c r="D16" s="35" t="s">
        <v>93</v>
      </c>
      <c r="E16" s="35">
        <v>10</v>
      </c>
      <c r="F16" s="44">
        <v>10</v>
      </c>
    </row>
    <row r="17" spans="1:6" x14ac:dyDescent="0.45">
      <c r="A17" s="88" t="s">
        <v>85</v>
      </c>
      <c r="B17" s="88"/>
      <c r="C17" s="88"/>
      <c r="D17" s="88"/>
      <c r="E17" s="27">
        <f>SUM(E11:E16)</f>
        <v>100</v>
      </c>
      <c r="F17" s="47"/>
    </row>
    <row r="18" spans="1:6" x14ac:dyDescent="0.45">
      <c r="A18" s="90" t="s">
        <v>17</v>
      </c>
      <c r="B18" s="42" t="s">
        <v>94</v>
      </c>
      <c r="C18" s="43" t="s">
        <v>77</v>
      </c>
      <c r="D18" s="35" t="s">
        <v>78</v>
      </c>
      <c r="E18" s="35">
        <v>25</v>
      </c>
      <c r="F18" s="44">
        <v>15</v>
      </c>
    </row>
    <row r="19" spans="1:6" x14ac:dyDescent="0.45">
      <c r="A19" s="91"/>
      <c r="B19" s="45" t="s">
        <v>95</v>
      </c>
      <c r="C19" s="43" t="s">
        <v>43</v>
      </c>
      <c r="D19" s="39" t="s">
        <v>78</v>
      </c>
      <c r="E19" s="39">
        <v>20</v>
      </c>
      <c r="F19" s="46">
        <v>85</v>
      </c>
    </row>
    <row r="20" spans="1:6" x14ac:dyDescent="0.45">
      <c r="A20" s="91"/>
      <c r="B20" s="42" t="s">
        <v>96</v>
      </c>
      <c r="C20" s="43" t="s">
        <v>39</v>
      </c>
      <c r="D20" s="35" t="s">
        <v>78</v>
      </c>
      <c r="E20" s="35">
        <v>15</v>
      </c>
      <c r="F20" s="44">
        <v>90</v>
      </c>
    </row>
    <row r="21" spans="1:6" x14ac:dyDescent="0.45">
      <c r="A21" s="91"/>
      <c r="B21" s="45" t="s">
        <v>97</v>
      </c>
      <c r="C21" s="43" t="s">
        <v>77</v>
      </c>
      <c r="D21" s="39" t="s">
        <v>78</v>
      </c>
      <c r="E21" s="39">
        <v>15</v>
      </c>
      <c r="F21" s="46">
        <v>4.5</v>
      </c>
    </row>
    <row r="22" spans="1:6" x14ac:dyDescent="0.45">
      <c r="A22" s="91"/>
      <c r="B22" s="42" t="s">
        <v>98</v>
      </c>
      <c r="C22" s="43" t="s">
        <v>39</v>
      </c>
      <c r="D22" s="35" t="s">
        <v>78</v>
      </c>
      <c r="E22" s="35">
        <v>15</v>
      </c>
      <c r="F22" s="44">
        <v>120</v>
      </c>
    </row>
    <row r="23" spans="1:6" x14ac:dyDescent="0.45">
      <c r="A23" s="92"/>
      <c r="B23" s="45" t="s">
        <v>99</v>
      </c>
      <c r="C23" s="43" t="s">
        <v>77</v>
      </c>
      <c r="D23" s="39" t="s">
        <v>78</v>
      </c>
      <c r="E23" s="39">
        <v>10</v>
      </c>
      <c r="F23" s="46">
        <v>90</v>
      </c>
    </row>
    <row r="24" spans="1:6" x14ac:dyDescent="0.45">
      <c r="A24" s="88" t="s">
        <v>85</v>
      </c>
      <c r="B24" s="88"/>
      <c r="C24" s="88"/>
      <c r="D24" s="88"/>
      <c r="E24" s="27">
        <f>SUM(E18:E23)</f>
        <v>100</v>
      </c>
      <c r="F24" s="47"/>
    </row>
    <row r="25" spans="1:6" x14ac:dyDescent="0.45">
      <c r="A25" s="93" t="s">
        <v>18</v>
      </c>
      <c r="B25" s="45" t="s">
        <v>100</v>
      </c>
      <c r="C25" s="43" t="s">
        <v>77</v>
      </c>
      <c r="D25" s="39" t="s">
        <v>78</v>
      </c>
      <c r="E25" s="39">
        <v>25</v>
      </c>
      <c r="F25" s="46">
        <v>85</v>
      </c>
    </row>
    <row r="26" spans="1:6" x14ac:dyDescent="0.45">
      <c r="A26" s="94"/>
      <c r="B26" s="42" t="s">
        <v>101</v>
      </c>
      <c r="C26" s="43" t="s">
        <v>43</v>
      </c>
      <c r="D26" s="35" t="s">
        <v>78</v>
      </c>
      <c r="E26" s="35">
        <v>20</v>
      </c>
      <c r="F26" s="44">
        <v>80</v>
      </c>
    </row>
    <row r="27" spans="1:6" x14ac:dyDescent="0.45">
      <c r="A27" s="94"/>
      <c r="B27" s="45" t="s">
        <v>102</v>
      </c>
      <c r="C27" s="43" t="s">
        <v>77</v>
      </c>
      <c r="D27" s="39" t="s">
        <v>78</v>
      </c>
      <c r="E27" s="39">
        <v>20</v>
      </c>
      <c r="F27" s="46">
        <v>90</v>
      </c>
    </row>
    <row r="28" spans="1:6" x14ac:dyDescent="0.45">
      <c r="A28" s="94"/>
      <c r="B28" s="42" t="s">
        <v>103</v>
      </c>
      <c r="C28" s="43" t="s">
        <v>39</v>
      </c>
      <c r="D28" s="35" t="s">
        <v>88</v>
      </c>
      <c r="E28" s="35">
        <v>15</v>
      </c>
      <c r="F28" s="44">
        <v>2</v>
      </c>
    </row>
    <row r="29" spans="1:6" x14ac:dyDescent="0.45">
      <c r="A29" s="94"/>
      <c r="B29" s="45" t="s">
        <v>104</v>
      </c>
      <c r="C29" s="43" t="s">
        <v>77</v>
      </c>
      <c r="D29" s="39" t="s">
        <v>78</v>
      </c>
      <c r="E29" s="39">
        <v>10</v>
      </c>
      <c r="F29" s="46">
        <v>50</v>
      </c>
    </row>
    <row r="30" spans="1:6" x14ac:dyDescent="0.45">
      <c r="A30" s="95"/>
      <c r="B30" s="42" t="s">
        <v>105</v>
      </c>
      <c r="C30" s="43" t="s">
        <v>43</v>
      </c>
      <c r="D30" s="35" t="s">
        <v>78</v>
      </c>
      <c r="E30" s="35">
        <v>10</v>
      </c>
      <c r="F30" s="44">
        <v>200</v>
      </c>
    </row>
    <row r="31" spans="1:6" x14ac:dyDescent="0.45">
      <c r="A31" s="88" t="s">
        <v>85</v>
      </c>
      <c r="B31" s="88"/>
      <c r="C31" s="88"/>
      <c r="D31" s="88"/>
      <c r="E31" s="27">
        <f>SUM(E25:E30)</f>
        <v>100</v>
      </c>
      <c r="F31" s="47"/>
    </row>
    <row r="32" spans="1:6" x14ac:dyDescent="0.45">
      <c r="A32" s="90" t="s">
        <v>19</v>
      </c>
      <c r="B32" s="42" t="s">
        <v>106</v>
      </c>
      <c r="C32" s="43" t="s">
        <v>43</v>
      </c>
      <c r="D32" s="35" t="s">
        <v>78</v>
      </c>
      <c r="E32" s="35">
        <v>20</v>
      </c>
      <c r="F32" s="44">
        <v>90</v>
      </c>
    </row>
    <row r="33" spans="1:6" x14ac:dyDescent="0.45">
      <c r="A33" s="91"/>
      <c r="B33" s="45" t="s">
        <v>107</v>
      </c>
      <c r="C33" s="43" t="s">
        <v>77</v>
      </c>
      <c r="D33" s="39" t="s">
        <v>78</v>
      </c>
      <c r="E33" s="39">
        <v>20</v>
      </c>
      <c r="F33" s="46">
        <v>99.5</v>
      </c>
    </row>
    <row r="34" spans="1:6" x14ac:dyDescent="0.45">
      <c r="A34" s="91"/>
      <c r="B34" s="42" t="s">
        <v>108</v>
      </c>
      <c r="C34" s="43" t="s">
        <v>109</v>
      </c>
      <c r="D34" s="35" t="s">
        <v>88</v>
      </c>
      <c r="E34" s="35">
        <v>15</v>
      </c>
      <c r="F34" s="44">
        <v>5</v>
      </c>
    </row>
    <row r="35" spans="1:6" x14ac:dyDescent="0.45">
      <c r="A35" s="91"/>
      <c r="B35" s="45" t="s">
        <v>110</v>
      </c>
      <c r="C35" s="43" t="s">
        <v>43</v>
      </c>
      <c r="D35" s="39" t="s">
        <v>78</v>
      </c>
      <c r="E35" s="39">
        <v>15</v>
      </c>
      <c r="F35" s="46">
        <v>40</v>
      </c>
    </row>
    <row r="36" spans="1:6" x14ac:dyDescent="0.45">
      <c r="A36" s="91"/>
      <c r="B36" s="42" t="s">
        <v>111</v>
      </c>
      <c r="C36" s="43" t="s">
        <v>39</v>
      </c>
      <c r="D36" s="35" t="s">
        <v>78</v>
      </c>
      <c r="E36" s="35">
        <v>15</v>
      </c>
      <c r="F36" s="44">
        <v>80</v>
      </c>
    </row>
    <row r="37" spans="1:6" x14ac:dyDescent="0.45">
      <c r="A37" s="92"/>
      <c r="B37" s="45" t="s">
        <v>112</v>
      </c>
      <c r="C37" s="43" t="s">
        <v>39</v>
      </c>
      <c r="D37" s="39" t="s">
        <v>93</v>
      </c>
      <c r="E37" s="39">
        <v>15</v>
      </c>
      <c r="F37" s="46">
        <v>10</v>
      </c>
    </row>
    <row r="38" spans="1:6" x14ac:dyDescent="0.45">
      <c r="A38" s="88" t="s">
        <v>85</v>
      </c>
      <c r="B38" s="88"/>
      <c r="C38" s="88"/>
      <c r="D38" s="88"/>
      <c r="E38" s="27">
        <f>SUM(E32:E37)</f>
        <v>100</v>
      </c>
      <c r="F38" s="47"/>
    </row>
    <row r="39" spans="1:6" x14ac:dyDescent="0.45">
      <c r="A39" s="93" t="s">
        <v>20</v>
      </c>
      <c r="B39" s="45" t="s">
        <v>113</v>
      </c>
      <c r="C39" s="43" t="s">
        <v>77</v>
      </c>
      <c r="D39" s="39" t="s">
        <v>78</v>
      </c>
      <c r="E39" s="39">
        <v>25</v>
      </c>
      <c r="F39" s="46">
        <v>90</v>
      </c>
    </row>
    <row r="40" spans="1:6" x14ac:dyDescent="0.45">
      <c r="A40" s="94"/>
      <c r="B40" s="42" t="s">
        <v>114</v>
      </c>
      <c r="C40" s="43" t="s">
        <v>109</v>
      </c>
      <c r="D40" s="35" t="s">
        <v>78</v>
      </c>
      <c r="E40" s="35">
        <v>20</v>
      </c>
      <c r="F40" s="44">
        <v>98</v>
      </c>
    </row>
    <row r="41" spans="1:6" x14ac:dyDescent="0.45">
      <c r="A41" s="94"/>
      <c r="B41" s="45" t="s">
        <v>115</v>
      </c>
      <c r="C41" s="43" t="s">
        <v>43</v>
      </c>
      <c r="D41" s="39" t="s">
        <v>78</v>
      </c>
      <c r="E41" s="39">
        <v>20</v>
      </c>
      <c r="F41" s="46">
        <v>100</v>
      </c>
    </row>
    <row r="42" spans="1:6" x14ac:dyDescent="0.45">
      <c r="A42" s="94"/>
      <c r="B42" s="42" t="s">
        <v>116</v>
      </c>
      <c r="C42" s="43" t="s">
        <v>77</v>
      </c>
      <c r="D42" s="35" t="s">
        <v>88</v>
      </c>
      <c r="E42" s="35">
        <v>15</v>
      </c>
      <c r="F42" s="44">
        <v>5</v>
      </c>
    </row>
    <row r="43" spans="1:6" x14ac:dyDescent="0.45">
      <c r="A43" s="94"/>
      <c r="B43" s="45" t="s">
        <v>117</v>
      </c>
      <c r="C43" s="43" t="s">
        <v>39</v>
      </c>
      <c r="D43" s="39" t="s">
        <v>78</v>
      </c>
      <c r="E43" s="39">
        <v>10</v>
      </c>
      <c r="F43" s="46">
        <v>100</v>
      </c>
    </row>
    <row r="44" spans="1:6" x14ac:dyDescent="0.45">
      <c r="A44" s="95"/>
      <c r="B44" s="42" t="s">
        <v>118</v>
      </c>
      <c r="C44" s="43" t="s">
        <v>119</v>
      </c>
      <c r="D44" s="35" t="s">
        <v>78</v>
      </c>
      <c r="E44" s="35">
        <v>10</v>
      </c>
      <c r="F44" s="44">
        <v>100</v>
      </c>
    </row>
    <row r="45" spans="1:6" x14ac:dyDescent="0.45">
      <c r="A45" s="88" t="s">
        <v>85</v>
      </c>
      <c r="B45" s="88"/>
      <c r="C45" s="88"/>
      <c r="D45" s="88"/>
      <c r="E45" s="27">
        <f>SUM(E39:E44)</f>
        <v>100</v>
      </c>
      <c r="F45" s="47"/>
    </row>
  </sheetData>
  <mergeCells count="14">
    <mergeCell ref="A31:D31"/>
    <mergeCell ref="A38:D38"/>
    <mergeCell ref="A45:D45"/>
    <mergeCell ref="A4:A9"/>
    <mergeCell ref="A39:A44"/>
    <mergeCell ref="A32:A37"/>
    <mergeCell ref="A25:A30"/>
    <mergeCell ref="A18:A23"/>
    <mergeCell ref="A11:A16"/>
    <mergeCell ref="A1:F1"/>
    <mergeCell ref="A2:F2"/>
    <mergeCell ref="A10:D10"/>
    <mergeCell ref="A17:D17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0"/>
  <sheetViews>
    <sheetView showGridLines="0" rightToLeft="1" zoomScaleNormal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G10" sqref="G10"/>
    </sheetView>
  </sheetViews>
  <sheetFormatPr defaultColWidth="8.6640625" defaultRowHeight="14.25" x14ac:dyDescent="0.45"/>
  <cols>
    <col min="1" max="1" width="3.46484375" customWidth="1"/>
    <col min="2" max="2" width="22" customWidth="1"/>
    <col min="3" max="8" width="13" customWidth="1"/>
    <col min="9" max="14" width="6.53125" customWidth="1"/>
    <col min="15" max="15" width="11" customWidth="1"/>
    <col min="16" max="16" width="15" customWidth="1"/>
  </cols>
  <sheetData>
    <row r="1" spans="1:16" ht="33.75" customHeight="1" x14ac:dyDescent="0.45">
      <c r="A1" s="86" t="s">
        <v>120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42" customHeight="1" x14ac:dyDescent="0.45">
      <c r="A2" s="48" t="s">
        <v>121</v>
      </c>
      <c r="B2" s="34" t="s">
        <v>122</v>
      </c>
      <c r="C2" s="49" t="s">
        <v>76</v>
      </c>
      <c r="D2" s="49" t="s">
        <v>79</v>
      </c>
      <c r="E2" s="49" t="s">
        <v>80</v>
      </c>
      <c r="F2" s="49" t="s">
        <v>82</v>
      </c>
      <c r="G2" s="49" t="s">
        <v>83</v>
      </c>
      <c r="H2" s="49" t="s">
        <v>84</v>
      </c>
      <c r="I2" s="50" t="s">
        <v>123</v>
      </c>
      <c r="J2" s="50" t="s">
        <v>124</v>
      </c>
      <c r="K2" s="50" t="s">
        <v>125</v>
      </c>
      <c r="L2" s="50" t="s">
        <v>126</v>
      </c>
      <c r="M2" s="50" t="s">
        <v>127</v>
      </c>
      <c r="N2" s="50" t="s">
        <v>128</v>
      </c>
      <c r="O2" s="51" t="s">
        <v>21</v>
      </c>
      <c r="P2" s="51" t="s">
        <v>12</v>
      </c>
    </row>
    <row r="3" spans="1:16" ht="18" customHeight="1" x14ac:dyDescent="0.45">
      <c r="A3" s="47"/>
      <c r="B3" s="52" t="s">
        <v>129</v>
      </c>
      <c r="C3" s="53">
        <f>'دليل المؤشرات'!F4</f>
        <v>60000</v>
      </c>
      <c r="D3" s="53">
        <f>'دليل المؤشرات'!F5</f>
        <v>90</v>
      </c>
      <c r="E3" s="53">
        <f>'دليل المؤشرات'!F6</f>
        <v>50</v>
      </c>
      <c r="F3" s="53">
        <f>'دليل المؤشرات'!F7</f>
        <v>9</v>
      </c>
      <c r="G3" s="53">
        <f>'دليل المؤشرات'!F8</f>
        <v>5000</v>
      </c>
      <c r="H3" s="53">
        <f>'دليل المؤشرات'!F9</f>
        <v>155</v>
      </c>
      <c r="I3" s="54">
        <f>'دليل المؤشرات'!E4</f>
        <v>30</v>
      </c>
      <c r="J3" s="54">
        <f>'دليل المؤشرات'!E5</f>
        <v>20</v>
      </c>
      <c r="K3" s="54">
        <f>'دليل المؤشرات'!E6</f>
        <v>15</v>
      </c>
      <c r="L3" s="54">
        <f>'دليل المؤشرات'!E7</f>
        <v>15</v>
      </c>
      <c r="M3" s="54">
        <f>'دليل المؤشرات'!E8</f>
        <v>10</v>
      </c>
      <c r="N3" s="54">
        <f>'دليل المؤشرات'!E9</f>
        <v>10</v>
      </c>
      <c r="O3" s="30" t="s">
        <v>130</v>
      </c>
      <c r="P3" s="47"/>
    </row>
    <row r="4" spans="1:16" ht="21" customHeight="1" x14ac:dyDescent="0.45">
      <c r="A4" s="55">
        <v>1</v>
      </c>
      <c r="B4" s="56" t="s">
        <v>131</v>
      </c>
      <c r="C4" s="57">
        <v>61754</v>
      </c>
      <c r="D4" s="57">
        <v>80</v>
      </c>
      <c r="E4" s="57">
        <v>49</v>
      </c>
      <c r="F4" s="57">
        <v>9.4</v>
      </c>
      <c r="G4" s="57">
        <v>4560</v>
      </c>
      <c r="H4" s="57">
        <v>137</v>
      </c>
      <c r="I4" s="58">
        <f>IF($B4="","",IF(C4="","",IFERROR(ROUND(IF('دليل المؤشرات'!$D$4="↓",MIN('دليل المؤشرات'!$F$4/C4,1),IF('دليل المؤشرات'!$D$4="★",C4/10,MIN(C4/'دليل المؤشرات'!$F$4,1)))*'دليل المؤشرات'!$E$4,1),0)))</f>
        <v>30</v>
      </c>
      <c r="J4" s="58">
        <f>IF($B4="","",IF(D4="","",IFERROR(ROUND(IF('دليل المؤشرات'!$D$5="↓",MIN('دليل المؤشرات'!$F$5/D4,1),IF('دليل المؤشرات'!$D$5="★",D4/10,MIN(D4/'دليل المؤشرات'!$F$5,1)))*'دليل المؤشرات'!$E$5,1),0)))</f>
        <v>17.8</v>
      </c>
      <c r="K4" s="58">
        <f>IF($B4="","",IF(E4="","",IFERROR(ROUND(IF('دليل المؤشرات'!$D$6="↓",MIN('دليل المؤشرات'!$F$6/E4,1),IF('دليل المؤشرات'!$D$6="★",E4/10,MIN(E4/'دليل المؤشرات'!$F$6,1)))*'دليل المؤشرات'!$E$6,1),0)))</f>
        <v>14.7</v>
      </c>
      <c r="L4" s="58">
        <f>IF($B4="","",IF(F4="","",IFERROR(ROUND(IF('دليل المؤشرات'!$D$7="↓",MIN('دليل المؤشرات'!$F$7/F4,1),IF('دليل المؤشرات'!$D$7="★",F4/10,MIN(F4/'دليل المؤشرات'!$F$7,1)))*'دليل المؤشرات'!$E$7,1),0)))</f>
        <v>15</v>
      </c>
      <c r="M4" s="58">
        <f>IF($B4="","",IF(G4="","",IFERROR(ROUND(IF('دليل المؤشرات'!$D$8="↓",MIN('دليل المؤشرات'!$F$8/G4,1),IF('دليل المؤشرات'!$D$8="★",G4/10,MIN(G4/'دليل المؤشرات'!$F$8,1)))*'دليل المؤشرات'!$E$8,1),0)))</f>
        <v>9.1</v>
      </c>
      <c r="N4" s="58">
        <f>IF($B4="","",IF(H4="","",IFERROR(ROUND(IF('دليل المؤشرات'!$D$9="↓",MIN('دليل المؤشرات'!$F$9/H4,1),IF('دليل المؤشرات'!$D$9="★",H4/10,MIN(H4/'دليل المؤشرات'!$F$9,1)))*'دليل المؤشرات'!$E$9,1),0)))</f>
        <v>8.8000000000000007</v>
      </c>
      <c r="O4" s="59">
        <f t="shared" ref="O4:O28" si="0">IF(B4="","",ROUND(SUM(I4:N4),1))</f>
        <v>95.4</v>
      </c>
      <c r="P4" s="35" t="str">
        <f t="shared" ref="P4:P28" si="1">IF(O4="","",IF(O4&gt;=90,"أداء متميز",IF(O4&gt;=75,"يفوق التوقعات",IF(O4&gt;=60,"يلبّي التوقعات",IF(O4&gt;=45,"يحتاج تطوير","غير مُرضٍ")))))</f>
        <v>أداء متميز</v>
      </c>
    </row>
    <row r="5" spans="1:16" ht="21" customHeight="1" x14ac:dyDescent="0.45">
      <c r="A5" s="60">
        <v>2</v>
      </c>
      <c r="B5" s="61" t="s">
        <v>132</v>
      </c>
      <c r="C5" s="57">
        <v>43805</v>
      </c>
      <c r="D5" s="57">
        <v>70</v>
      </c>
      <c r="E5" s="57">
        <v>35</v>
      </c>
      <c r="F5" s="57">
        <v>7</v>
      </c>
      <c r="G5" s="57">
        <v>4195</v>
      </c>
      <c r="H5" s="57">
        <v>122</v>
      </c>
      <c r="I5" s="58">
        <f>IF($B5="","",IF(C5="","",IFERROR(ROUND(IF('دليل المؤشرات'!$D$4="↓",MIN('دليل المؤشرات'!$F$4/C5,1),IF('دليل المؤشرات'!$D$4="★",C5/10,MIN(C5/'دليل المؤشرات'!$F$4,1)))*'دليل المؤشرات'!$E$4,1),0)))</f>
        <v>21.9</v>
      </c>
      <c r="J5" s="58">
        <f>IF($B5="","",IF(D5="","",IFERROR(ROUND(IF('دليل المؤشرات'!$D$5="↓",MIN('دليل المؤشرات'!$F$5/D5,1),IF('دليل المؤشرات'!$D$5="★",D5/10,MIN(D5/'دليل المؤشرات'!$F$5,1)))*'دليل المؤشرات'!$E$5,1),0)))</f>
        <v>15.6</v>
      </c>
      <c r="K5" s="58">
        <f>IF($B5="","",IF(E5="","",IFERROR(ROUND(IF('دليل المؤشرات'!$D$6="↓",MIN('دليل المؤشرات'!$F$6/E5,1),IF('دليل المؤشرات'!$D$6="★",E5/10,MIN(E5/'دليل المؤشرات'!$F$6,1)))*'دليل المؤشرات'!$E$6,1),0)))</f>
        <v>10.5</v>
      </c>
      <c r="L5" s="58">
        <f>IF($B5="","",IF(F5="","",IFERROR(ROUND(IF('دليل المؤشرات'!$D$7="↓",MIN('دليل المؤشرات'!$F$7/F5,1),IF('دليل المؤشرات'!$D$7="★",F5/10,MIN(F5/'دليل المؤشرات'!$F$7,1)))*'دليل المؤشرات'!$E$7,1),0)))</f>
        <v>11.7</v>
      </c>
      <c r="M5" s="58">
        <f>IF($B5="","",IF(G5="","",IFERROR(ROUND(IF('دليل المؤشرات'!$D$8="↓",MIN('دليل المؤشرات'!$F$8/G5,1),IF('دليل المؤشرات'!$D$8="★",G5/10,MIN(G5/'دليل المؤشرات'!$F$8,1)))*'دليل المؤشرات'!$E$8,1),0)))</f>
        <v>8.4</v>
      </c>
      <c r="N5" s="58">
        <f>IF($B5="","",IF(H5="","",IFERROR(ROUND(IF('دليل المؤشرات'!$D$9="↓",MIN('دليل المؤشرات'!$F$9/H5,1),IF('دليل المؤشرات'!$D$9="★",H5/10,MIN(H5/'دليل المؤشرات'!$F$9,1)))*'دليل المؤشرات'!$E$9,1),0)))</f>
        <v>7.9</v>
      </c>
      <c r="O5" s="59">
        <f t="shared" si="0"/>
        <v>76</v>
      </c>
      <c r="P5" s="39" t="str">
        <f t="shared" si="1"/>
        <v>يفوق التوقعات</v>
      </c>
    </row>
    <row r="6" spans="1:16" ht="21" customHeight="1" x14ac:dyDescent="0.45">
      <c r="A6" s="55">
        <v>3</v>
      </c>
      <c r="B6" s="56" t="s">
        <v>133</v>
      </c>
      <c r="C6" s="57">
        <v>42146</v>
      </c>
      <c r="D6" s="57">
        <v>66</v>
      </c>
      <c r="E6" s="57">
        <v>39</v>
      </c>
      <c r="F6" s="57">
        <v>6.4</v>
      </c>
      <c r="G6" s="57">
        <v>3797</v>
      </c>
      <c r="H6" s="57">
        <v>121</v>
      </c>
      <c r="I6" s="58">
        <f>IF($B6="","",IF(C6="","",IFERROR(ROUND(IF('دليل المؤشرات'!$D$4="↓",MIN('دليل المؤشرات'!$F$4/C6,1),IF('دليل المؤشرات'!$D$4="★",C6/10,MIN(C6/'دليل المؤشرات'!$F$4,1)))*'دليل المؤشرات'!$E$4,1),0)))</f>
        <v>21.1</v>
      </c>
      <c r="J6" s="58">
        <f>IF($B6="","",IF(D6="","",IFERROR(ROUND(IF('دليل المؤشرات'!$D$5="↓",MIN('دليل المؤشرات'!$F$5/D6,1),IF('دليل المؤشرات'!$D$5="★",D6/10,MIN(D6/'دليل المؤشرات'!$F$5,1)))*'دليل المؤشرات'!$E$5,1),0)))</f>
        <v>14.7</v>
      </c>
      <c r="K6" s="58">
        <f>IF($B6="","",IF(E6="","",IFERROR(ROUND(IF('دليل المؤشرات'!$D$6="↓",MIN('دليل المؤشرات'!$F$6/E6,1),IF('دليل المؤشرات'!$D$6="★",E6/10,MIN(E6/'دليل المؤشرات'!$F$6,1)))*'دليل المؤشرات'!$E$6,1),0)))</f>
        <v>11.7</v>
      </c>
      <c r="L6" s="58">
        <f>IF($B6="","",IF(F6="","",IFERROR(ROUND(IF('دليل المؤشرات'!$D$7="↓",MIN('دليل المؤشرات'!$F$7/F6,1),IF('دليل المؤشرات'!$D$7="★",F6/10,MIN(F6/'دليل المؤشرات'!$F$7,1)))*'دليل المؤشرات'!$E$7,1),0)))</f>
        <v>10.7</v>
      </c>
      <c r="M6" s="58">
        <f>IF($B6="","",IF(G6="","",IFERROR(ROUND(IF('دليل المؤشرات'!$D$8="↓",MIN('دليل المؤشرات'!$F$8/G6,1),IF('دليل المؤشرات'!$D$8="★",G6/10,MIN(G6/'دليل المؤشرات'!$F$8,1)))*'دليل المؤشرات'!$E$8,1),0)))</f>
        <v>7.6</v>
      </c>
      <c r="N6" s="58">
        <f>IF($B6="","",IF(H6="","",IFERROR(ROUND(IF('دليل المؤشرات'!$D$9="↓",MIN('دليل المؤشرات'!$F$9/H6,1),IF('دليل المؤشرات'!$D$9="★",H6/10,MIN(H6/'دليل المؤشرات'!$F$9,1)))*'دليل المؤشرات'!$E$9,1),0)))</f>
        <v>7.8</v>
      </c>
      <c r="O6" s="59">
        <f t="shared" si="0"/>
        <v>73.599999999999994</v>
      </c>
      <c r="P6" s="35" t="str">
        <f t="shared" si="1"/>
        <v>يلبّي التوقعات</v>
      </c>
    </row>
    <row r="7" spans="1:16" ht="21" customHeight="1" x14ac:dyDescent="0.45">
      <c r="A7" s="60">
        <v>4</v>
      </c>
      <c r="B7" s="61" t="s">
        <v>134</v>
      </c>
      <c r="C7" s="57">
        <v>48117</v>
      </c>
      <c r="D7" s="57">
        <v>74</v>
      </c>
      <c r="E7" s="57">
        <v>36</v>
      </c>
      <c r="F7" s="57">
        <v>7.2</v>
      </c>
      <c r="G7" s="57">
        <v>3715</v>
      </c>
      <c r="H7" s="57">
        <v>113</v>
      </c>
      <c r="I7" s="58">
        <f>IF($B7="","",IF(C7="","",IFERROR(ROUND(IF('دليل المؤشرات'!$D$4="↓",MIN('دليل المؤشرات'!$F$4/C7,1),IF('دليل المؤشرات'!$D$4="★",C7/10,MIN(C7/'دليل المؤشرات'!$F$4,1)))*'دليل المؤشرات'!$E$4,1),0)))</f>
        <v>24.1</v>
      </c>
      <c r="J7" s="58">
        <f>IF($B7="","",IF(D7="","",IFERROR(ROUND(IF('دليل المؤشرات'!$D$5="↓",MIN('دليل المؤشرات'!$F$5/D7,1),IF('دليل المؤشرات'!$D$5="★",D7/10,MIN(D7/'دليل المؤشرات'!$F$5,1)))*'دليل المؤشرات'!$E$5,1),0)))</f>
        <v>16.399999999999999</v>
      </c>
      <c r="K7" s="58">
        <f>IF($B7="","",IF(E7="","",IFERROR(ROUND(IF('دليل المؤشرات'!$D$6="↓",MIN('دليل المؤشرات'!$F$6/E7,1),IF('دليل المؤشرات'!$D$6="★",E7/10,MIN(E7/'دليل المؤشرات'!$F$6,1)))*'دليل المؤشرات'!$E$6,1),0)))</f>
        <v>10.8</v>
      </c>
      <c r="L7" s="58">
        <f>IF($B7="","",IF(F7="","",IFERROR(ROUND(IF('دليل المؤشرات'!$D$7="↓",MIN('دليل المؤشرات'!$F$7/F7,1),IF('دليل المؤشرات'!$D$7="★",F7/10,MIN(F7/'دليل المؤشرات'!$F$7,1)))*'دليل المؤشرات'!$E$7,1),0)))</f>
        <v>12</v>
      </c>
      <c r="M7" s="58">
        <f>IF($B7="","",IF(G7="","",IFERROR(ROUND(IF('دليل المؤشرات'!$D$8="↓",MIN('دليل المؤشرات'!$F$8/G7,1),IF('دليل المؤشرات'!$D$8="★",G7/10,MIN(G7/'دليل المؤشرات'!$F$8,1)))*'دليل المؤشرات'!$E$8,1),0)))</f>
        <v>7.4</v>
      </c>
      <c r="N7" s="58">
        <f>IF($B7="","",IF(H7="","",IFERROR(ROUND(IF('دليل المؤشرات'!$D$9="↓",MIN('دليل المؤشرات'!$F$9/H7,1),IF('دليل المؤشرات'!$D$9="★",H7/10,MIN(H7/'دليل المؤشرات'!$F$9,1)))*'دليل المؤشرات'!$E$9,1),0)))</f>
        <v>7.3</v>
      </c>
      <c r="O7" s="59">
        <f t="shared" si="0"/>
        <v>78</v>
      </c>
      <c r="P7" s="39" t="str">
        <f t="shared" si="1"/>
        <v>يفوق التوقعات</v>
      </c>
    </row>
    <row r="8" spans="1:16" ht="21" customHeight="1" x14ac:dyDescent="0.45">
      <c r="A8" s="55">
        <v>5</v>
      </c>
      <c r="B8" s="56" t="s">
        <v>135</v>
      </c>
      <c r="C8" s="57">
        <v>46339</v>
      </c>
      <c r="D8" s="57">
        <v>70</v>
      </c>
      <c r="E8" s="57">
        <v>41</v>
      </c>
      <c r="F8" s="57">
        <v>6.9</v>
      </c>
      <c r="G8" s="57">
        <v>4192</v>
      </c>
      <c r="H8" s="57">
        <v>116</v>
      </c>
      <c r="I8" s="58">
        <f>IF($B8="","",IF(C8="","",IFERROR(ROUND(IF('دليل المؤشرات'!$D$4="↓",MIN('دليل المؤشرات'!$F$4/C8,1),IF('دليل المؤشرات'!$D$4="★",C8/10,MIN(C8/'دليل المؤشرات'!$F$4,1)))*'دليل المؤشرات'!$E$4,1),0)))</f>
        <v>23.2</v>
      </c>
      <c r="J8" s="58">
        <f>IF($B8="","",IF(D8="","",IFERROR(ROUND(IF('دليل المؤشرات'!$D$5="↓",MIN('دليل المؤشرات'!$F$5/D8,1),IF('دليل المؤشرات'!$D$5="★",D8/10,MIN(D8/'دليل المؤشرات'!$F$5,1)))*'دليل المؤشرات'!$E$5,1),0)))</f>
        <v>15.6</v>
      </c>
      <c r="K8" s="58">
        <f>IF($B8="","",IF(E8="","",IFERROR(ROUND(IF('دليل المؤشرات'!$D$6="↓",MIN('دليل المؤشرات'!$F$6/E8,1),IF('دليل المؤشرات'!$D$6="★",E8/10,MIN(E8/'دليل المؤشرات'!$F$6,1)))*'دليل المؤشرات'!$E$6,1),0)))</f>
        <v>12.3</v>
      </c>
      <c r="L8" s="58">
        <f>IF($B8="","",IF(F8="","",IFERROR(ROUND(IF('دليل المؤشرات'!$D$7="↓",MIN('دليل المؤشرات'!$F$7/F8,1),IF('دليل المؤشرات'!$D$7="★",F8/10,MIN(F8/'دليل المؤشرات'!$F$7,1)))*'دليل المؤشرات'!$E$7,1),0)))</f>
        <v>11.5</v>
      </c>
      <c r="M8" s="58">
        <f>IF($B8="","",IF(G8="","",IFERROR(ROUND(IF('دليل المؤشرات'!$D$8="↓",MIN('دليل المؤشرات'!$F$8/G8,1),IF('دليل المؤشرات'!$D$8="★",G8/10,MIN(G8/'دليل المؤشرات'!$F$8,1)))*'دليل المؤشرات'!$E$8,1),0)))</f>
        <v>8.4</v>
      </c>
      <c r="N8" s="58">
        <f>IF($B8="","",IF(H8="","",IFERROR(ROUND(IF('دليل المؤشرات'!$D$9="↓",MIN('دليل المؤشرات'!$F$9/H8,1),IF('دليل المؤشرات'!$D$9="★",H8/10,MIN(H8/'دليل المؤشرات'!$F$9,1)))*'دليل المؤشرات'!$E$9,1),0)))</f>
        <v>7.5</v>
      </c>
      <c r="O8" s="59">
        <f t="shared" si="0"/>
        <v>78.5</v>
      </c>
      <c r="P8" s="35" t="str">
        <f t="shared" si="1"/>
        <v>يفوق التوقعات</v>
      </c>
    </row>
    <row r="9" spans="1:16" ht="21" customHeight="1" x14ac:dyDescent="0.45">
      <c r="A9" s="60">
        <v>6</v>
      </c>
      <c r="B9" s="61" t="s">
        <v>136</v>
      </c>
      <c r="C9" s="57">
        <v>39043</v>
      </c>
      <c r="D9" s="57">
        <v>53</v>
      </c>
      <c r="E9" s="57">
        <v>32</v>
      </c>
      <c r="F9" s="57">
        <v>5.7</v>
      </c>
      <c r="G9" s="57">
        <v>3364</v>
      </c>
      <c r="H9" s="57">
        <v>101</v>
      </c>
      <c r="I9" s="58">
        <f>IF($B9="","",IF(C9="","",IFERROR(ROUND(IF('دليل المؤشرات'!$D$4="↓",MIN('دليل المؤشرات'!$F$4/C9,1),IF('دليل المؤشرات'!$D$4="★",C9/10,MIN(C9/'دليل المؤشرات'!$F$4,1)))*'دليل المؤشرات'!$E$4,1),0)))</f>
        <v>19.5</v>
      </c>
      <c r="J9" s="58">
        <f>IF($B9="","",IF(D9="","",IFERROR(ROUND(IF('دليل المؤشرات'!$D$5="↓",MIN('دليل المؤشرات'!$F$5/D9,1),IF('دليل المؤشرات'!$D$5="★",D9/10,MIN(D9/'دليل المؤشرات'!$F$5,1)))*'دليل المؤشرات'!$E$5,1),0)))</f>
        <v>11.8</v>
      </c>
      <c r="K9" s="58">
        <f>IF($B9="","",IF(E9="","",IFERROR(ROUND(IF('دليل المؤشرات'!$D$6="↓",MIN('دليل المؤشرات'!$F$6/E9,1),IF('دليل المؤشرات'!$D$6="★",E9/10,MIN(E9/'دليل المؤشرات'!$F$6,1)))*'دليل المؤشرات'!$E$6,1),0)))</f>
        <v>9.6</v>
      </c>
      <c r="L9" s="58">
        <f>IF($B9="","",IF(F9="","",IFERROR(ROUND(IF('دليل المؤشرات'!$D$7="↓",MIN('دليل المؤشرات'!$F$7/F9,1),IF('دليل المؤشرات'!$D$7="★",F9/10,MIN(F9/'دليل المؤشرات'!$F$7,1)))*'دليل المؤشرات'!$E$7,1),0)))</f>
        <v>9.5</v>
      </c>
      <c r="M9" s="58">
        <f>IF($B9="","",IF(G9="","",IFERROR(ROUND(IF('دليل المؤشرات'!$D$8="↓",MIN('دليل المؤشرات'!$F$8/G9,1),IF('دليل المؤشرات'!$D$8="★",G9/10,MIN(G9/'دليل المؤشرات'!$F$8,1)))*'دليل المؤشرات'!$E$8,1),0)))</f>
        <v>6.7</v>
      </c>
      <c r="N9" s="58">
        <f>IF($B9="","",IF(H9="","",IFERROR(ROUND(IF('دليل المؤشرات'!$D$9="↓",MIN('دليل المؤشرات'!$F$9/H9,1),IF('دليل المؤشرات'!$D$9="★",H9/10,MIN(H9/'دليل المؤشرات'!$F$9,1)))*'دليل المؤشرات'!$E$9,1),0)))</f>
        <v>6.5</v>
      </c>
      <c r="O9" s="59">
        <f t="shared" si="0"/>
        <v>63.6</v>
      </c>
      <c r="P9" s="39" t="str">
        <f t="shared" si="1"/>
        <v>يلبّي التوقعات</v>
      </c>
    </row>
    <row r="10" spans="1:16" ht="21" customHeight="1" x14ac:dyDescent="0.45">
      <c r="A10" s="55">
        <v>7</v>
      </c>
      <c r="B10" s="56" t="s">
        <v>137</v>
      </c>
      <c r="C10" s="57">
        <v>42346</v>
      </c>
      <c r="D10" s="57">
        <v>68</v>
      </c>
      <c r="E10" s="57">
        <v>33</v>
      </c>
      <c r="F10" s="57">
        <v>6.4</v>
      </c>
      <c r="G10" s="57">
        <v>3257</v>
      </c>
      <c r="H10" s="57">
        <v>115</v>
      </c>
      <c r="I10" s="58">
        <f>IF($B10="","",IF(C10="","",IFERROR(ROUND(IF('دليل المؤشرات'!$D$4="↓",MIN('دليل المؤشرات'!$F$4/C10,1),IF('دليل المؤشرات'!$D$4="★",C10/10,MIN(C10/'دليل المؤشرات'!$F$4,1)))*'دليل المؤشرات'!$E$4,1),0)))</f>
        <v>21.2</v>
      </c>
      <c r="J10" s="58">
        <f>IF($B10="","",IF(D10="","",IFERROR(ROUND(IF('دليل المؤشرات'!$D$5="↓",MIN('دليل المؤشرات'!$F$5/D10,1),IF('دليل المؤشرات'!$D$5="★",D10/10,MIN(D10/'دليل المؤشرات'!$F$5,1)))*'دليل المؤشرات'!$E$5,1),0)))</f>
        <v>15.1</v>
      </c>
      <c r="K10" s="58">
        <f>IF($B10="","",IF(E10="","",IFERROR(ROUND(IF('دليل المؤشرات'!$D$6="↓",MIN('دليل المؤشرات'!$F$6/E10,1),IF('دليل المؤشرات'!$D$6="★",E10/10,MIN(E10/'دليل المؤشرات'!$F$6,1)))*'دليل المؤشرات'!$E$6,1),0)))</f>
        <v>9.9</v>
      </c>
      <c r="L10" s="58">
        <f>IF($B10="","",IF(F10="","",IFERROR(ROUND(IF('دليل المؤشرات'!$D$7="↓",MIN('دليل المؤشرات'!$F$7/F10,1),IF('دليل المؤشرات'!$D$7="★",F10/10,MIN(F10/'دليل المؤشرات'!$F$7,1)))*'دليل المؤشرات'!$E$7,1),0)))</f>
        <v>10.7</v>
      </c>
      <c r="M10" s="58">
        <f>IF($B10="","",IF(G10="","",IFERROR(ROUND(IF('دليل المؤشرات'!$D$8="↓",MIN('دليل المؤشرات'!$F$8/G10,1),IF('دليل المؤشرات'!$D$8="★",G10/10,MIN(G10/'دليل المؤشرات'!$F$8,1)))*'دليل المؤشرات'!$E$8,1),0)))</f>
        <v>6.5</v>
      </c>
      <c r="N10" s="58">
        <f>IF($B10="","",IF(H10="","",IFERROR(ROUND(IF('دليل المؤشرات'!$D$9="↓",MIN('دليل المؤشرات'!$F$9/H10,1),IF('دليل المؤشرات'!$D$9="★",H10/10,MIN(H10/'دليل المؤشرات'!$F$9,1)))*'دليل المؤشرات'!$E$9,1),0)))</f>
        <v>7.4</v>
      </c>
      <c r="O10" s="59">
        <f t="shared" si="0"/>
        <v>70.8</v>
      </c>
      <c r="P10" s="35" t="str">
        <f t="shared" si="1"/>
        <v>يلبّي التوقعات</v>
      </c>
    </row>
    <row r="11" spans="1:16" ht="21" customHeight="1" x14ac:dyDescent="0.45">
      <c r="A11" s="60">
        <v>8</v>
      </c>
      <c r="B11" s="61" t="s">
        <v>138</v>
      </c>
      <c r="C11" s="57">
        <v>66325</v>
      </c>
      <c r="D11" s="57">
        <v>100</v>
      </c>
      <c r="E11" s="57">
        <v>51</v>
      </c>
      <c r="F11" s="57">
        <v>9.1</v>
      </c>
      <c r="G11" s="57">
        <v>5222</v>
      </c>
      <c r="H11" s="57">
        <v>172</v>
      </c>
      <c r="I11" s="58">
        <f>IF($B11="","",IF(C11="","",IFERROR(ROUND(IF('دليل المؤشرات'!$D$4="↓",MIN('دليل المؤشرات'!$F$4/C11,1),IF('دليل المؤشرات'!$D$4="★",C11/10,MIN(C11/'دليل المؤشرات'!$F$4,1)))*'دليل المؤشرات'!$E$4,1),0)))</f>
        <v>30</v>
      </c>
      <c r="J11" s="58">
        <f>IF($B11="","",IF(D11="","",IFERROR(ROUND(IF('دليل المؤشرات'!$D$5="↓",MIN('دليل المؤشرات'!$F$5/D11,1),IF('دليل المؤشرات'!$D$5="★",D11/10,MIN(D11/'دليل المؤشرات'!$F$5,1)))*'دليل المؤشرات'!$E$5,1),0)))</f>
        <v>20</v>
      </c>
      <c r="K11" s="58">
        <f>IF($B11="","",IF(E11="","",IFERROR(ROUND(IF('دليل المؤشرات'!$D$6="↓",MIN('دليل المؤشرات'!$F$6/E11,1),IF('دليل المؤشرات'!$D$6="★",E11/10,MIN(E11/'دليل المؤشرات'!$F$6,1)))*'دليل المؤشرات'!$E$6,1),0)))</f>
        <v>15</v>
      </c>
      <c r="L11" s="58">
        <f>IF($B11="","",IF(F11="","",IFERROR(ROUND(IF('دليل المؤشرات'!$D$7="↓",MIN('دليل المؤشرات'!$F$7/F11,1),IF('دليل المؤشرات'!$D$7="★",F11/10,MIN(F11/'دليل المؤشرات'!$F$7,1)))*'دليل المؤشرات'!$E$7,1),0)))</f>
        <v>15</v>
      </c>
      <c r="M11" s="58">
        <f>IF($B11="","",IF(G11="","",IFERROR(ROUND(IF('دليل المؤشرات'!$D$8="↓",MIN('دليل المؤشرات'!$F$8/G11,1),IF('دليل المؤشرات'!$D$8="★",G11/10,MIN(G11/'دليل المؤشرات'!$F$8,1)))*'دليل المؤشرات'!$E$8,1),0)))</f>
        <v>10</v>
      </c>
      <c r="N11" s="58">
        <f>IF($B11="","",IF(H11="","",IFERROR(ROUND(IF('دليل المؤشرات'!$D$9="↓",MIN('دليل المؤشرات'!$F$9/H11,1),IF('دليل المؤشرات'!$D$9="★",H11/10,MIN(H11/'دليل المؤشرات'!$F$9,1)))*'دليل المؤشرات'!$E$9,1),0)))</f>
        <v>10</v>
      </c>
      <c r="O11" s="59">
        <f t="shared" si="0"/>
        <v>100</v>
      </c>
      <c r="P11" s="39" t="str">
        <f t="shared" si="1"/>
        <v>أداء متميز</v>
      </c>
    </row>
    <row r="12" spans="1:16" ht="21" customHeight="1" x14ac:dyDescent="0.45">
      <c r="A12" s="55">
        <v>9</v>
      </c>
      <c r="B12" s="56" t="s">
        <v>139</v>
      </c>
      <c r="C12" s="57">
        <v>55031</v>
      </c>
      <c r="D12" s="57">
        <v>73</v>
      </c>
      <c r="E12" s="57">
        <v>46</v>
      </c>
      <c r="F12" s="57">
        <v>7.6</v>
      </c>
      <c r="G12" s="57">
        <v>4481</v>
      </c>
      <c r="H12" s="57">
        <v>142</v>
      </c>
      <c r="I12" s="58">
        <f>IF($B12="","",IF(C12="","",IFERROR(ROUND(IF('دليل المؤشرات'!$D$4="↓",MIN('دليل المؤشرات'!$F$4/C12,1),IF('دليل المؤشرات'!$D$4="★",C12/10,MIN(C12/'دليل المؤشرات'!$F$4,1)))*'دليل المؤشرات'!$E$4,1),0)))</f>
        <v>27.5</v>
      </c>
      <c r="J12" s="58">
        <f>IF($B12="","",IF(D12="","",IFERROR(ROUND(IF('دليل المؤشرات'!$D$5="↓",MIN('دليل المؤشرات'!$F$5/D12,1),IF('دليل المؤشرات'!$D$5="★",D12/10,MIN(D12/'دليل المؤشرات'!$F$5,1)))*'دليل المؤشرات'!$E$5,1),0)))</f>
        <v>16.2</v>
      </c>
      <c r="K12" s="58">
        <f>IF($B12="","",IF(E12="","",IFERROR(ROUND(IF('دليل المؤشرات'!$D$6="↓",MIN('دليل المؤشرات'!$F$6/E12,1),IF('دليل المؤشرات'!$D$6="★",E12/10,MIN(E12/'دليل المؤشرات'!$F$6,1)))*'دليل المؤشرات'!$E$6,1),0)))</f>
        <v>13.8</v>
      </c>
      <c r="L12" s="58">
        <f>IF($B12="","",IF(F12="","",IFERROR(ROUND(IF('دليل المؤشرات'!$D$7="↓",MIN('دليل المؤشرات'!$F$7/F12,1),IF('دليل المؤشرات'!$D$7="★",F12/10,MIN(F12/'دليل المؤشرات'!$F$7,1)))*'دليل المؤشرات'!$E$7,1),0)))</f>
        <v>12.7</v>
      </c>
      <c r="M12" s="58">
        <f>IF($B12="","",IF(G12="","",IFERROR(ROUND(IF('دليل المؤشرات'!$D$8="↓",MIN('دليل المؤشرات'!$F$8/G12,1),IF('دليل المؤشرات'!$D$8="★",G12/10,MIN(G12/'دليل المؤشرات'!$F$8,1)))*'دليل المؤشرات'!$E$8,1),0)))</f>
        <v>9</v>
      </c>
      <c r="N12" s="58">
        <f>IF($B12="","",IF(H12="","",IFERROR(ROUND(IF('دليل المؤشرات'!$D$9="↓",MIN('دليل المؤشرات'!$F$9/H12,1),IF('دليل المؤشرات'!$D$9="★",H12/10,MIN(H12/'دليل المؤشرات'!$F$9,1)))*'دليل المؤشرات'!$E$9,1),0)))</f>
        <v>9.1999999999999993</v>
      </c>
      <c r="O12" s="59">
        <f t="shared" si="0"/>
        <v>88.4</v>
      </c>
      <c r="P12" s="35" t="str">
        <f t="shared" si="1"/>
        <v>يفوق التوقعات</v>
      </c>
    </row>
    <row r="13" spans="1:16" ht="21" customHeight="1" x14ac:dyDescent="0.45">
      <c r="A13" s="60">
        <v>10</v>
      </c>
      <c r="B13" s="61" t="s">
        <v>140</v>
      </c>
      <c r="C13" s="57">
        <v>53133</v>
      </c>
      <c r="D13" s="57">
        <v>82</v>
      </c>
      <c r="E13" s="57">
        <v>41</v>
      </c>
      <c r="F13" s="57">
        <v>8.3000000000000007</v>
      </c>
      <c r="G13" s="57">
        <v>4121</v>
      </c>
      <c r="H13" s="57">
        <v>134</v>
      </c>
      <c r="I13" s="58">
        <f>IF($B13="","",IF(C13="","",IFERROR(ROUND(IF('دليل المؤشرات'!$D$4="↓",MIN('دليل المؤشرات'!$F$4/C13,1),IF('دليل المؤشرات'!$D$4="★",C13/10,MIN(C13/'دليل المؤشرات'!$F$4,1)))*'دليل المؤشرات'!$E$4,1),0)))</f>
        <v>26.6</v>
      </c>
      <c r="J13" s="58">
        <f>IF($B13="","",IF(D13="","",IFERROR(ROUND(IF('دليل المؤشرات'!$D$5="↓",MIN('دليل المؤشرات'!$F$5/D13,1),IF('دليل المؤشرات'!$D$5="★",D13/10,MIN(D13/'دليل المؤشرات'!$F$5,1)))*'دليل المؤشرات'!$E$5,1),0)))</f>
        <v>18.2</v>
      </c>
      <c r="K13" s="58">
        <f>IF($B13="","",IF(E13="","",IFERROR(ROUND(IF('دليل المؤشرات'!$D$6="↓",MIN('دليل المؤشرات'!$F$6/E13,1),IF('دليل المؤشرات'!$D$6="★",E13/10,MIN(E13/'دليل المؤشرات'!$F$6,1)))*'دليل المؤشرات'!$E$6,1),0)))</f>
        <v>12.3</v>
      </c>
      <c r="L13" s="58">
        <f>IF($B13="","",IF(F13="","",IFERROR(ROUND(IF('دليل المؤشرات'!$D$7="↓",MIN('دليل المؤشرات'!$F$7/F13,1),IF('دليل المؤشرات'!$D$7="★",F13/10,MIN(F13/'دليل المؤشرات'!$F$7,1)))*'دليل المؤشرات'!$E$7,1),0)))</f>
        <v>13.8</v>
      </c>
      <c r="M13" s="58">
        <f>IF($B13="","",IF(G13="","",IFERROR(ROUND(IF('دليل المؤشرات'!$D$8="↓",MIN('دليل المؤشرات'!$F$8/G13,1),IF('دليل المؤشرات'!$D$8="★",G13/10,MIN(G13/'دليل المؤشرات'!$F$8,1)))*'دليل المؤشرات'!$E$8,1),0)))</f>
        <v>8.1999999999999993</v>
      </c>
      <c r="N13" s="58">
        <f>IF($B13="","",IF(H13="","",IFERROR(ROUND(IF('دليل المؤشرات'!$D$9="↓",MIN('دليل المؤشرات'!$F$9/H13,1),IF('دليل المؤشرات'!$D$9="★",H13/10,MIN(H13/'دليل المؤشرات'!$F$9,1)))*'دليل المؤشرات'!$E$9,1),0)))</f>
        <v>8.6</v>
      </c>
      <c r="O13" s="59">
        <f t="shared" si="0"/>
        <v>87.7</v>
      </c>
      <c r="P13" s="39" t="str">
        <f t="shared" si="1"/>
        <v>يفوق التوقعات</v>
      </c>
    </row>
    <row r="14" spans="1:16" ht="21" customHeight="1" x14ac:dyDescent="0.45">
      <c r="A14" s="55">
        <v>11</v>
      </c>
      <c r="B14" s="56" t="s">
        <v>141</v>
      </c>
      <c r="C14" s="57">
        <v>44714</v>
      </c>
      <c r="D14" s="57">
        <v>63</v>
      </c>
      <c r="E14" s="57">
        <v>39</v>
      </c>
      <c r="F14" s="57">
        <v>6.4</v>
      </c>
      <c r="G14" s="57">
        <v>3319</v>
      </c>
      <c r="H14" s="57">
        <v>108</v>
      </c>
      <c r="I14" s="58">
        <f>IF($B14="","",IF(C14="","",IFERROR(ROUND(IF('دليل المؤشرات'!$D$4="↓",MIN('دليل المؤشرات'!$F$4/C14,1),IF('دليل المؤشرات'!$D$4="★",C14/10,MIN(C14/'دليل المؤشرات'!$F$4,1)))*'دليل المؤشرات'!$E$4,1),0)))</f>
        <v>22.4</v>
      </c>
      <c r="J14" s="58">
        <f>IF($B14="","",IF(D14="","",IFERROR(ROUND(IF('دليل المؤشرات'!$D$5="↓",MIN('دليل المؤشرات'!$F$5/D14,1),IF('دليل المؤشرات'!$D$5="★",D14/10,MIN(D14/'دليل المؤشرات'!$F$5,1)))*'دليل المؤشرات'!$E$5,1),0)))</f>
        <v>14</v>
      </c>
      <c r="K14" s="58">
        <f>IF($B14="","",IF(E14="","",IFERROR(ROUND(IF('دليل المؤشرات'!$D$6="↓",MIN('دليل المؤشرات'!$F$6/E14,1),IF('دليل المؤشرات'!$D$6="★",E14/10,MIN(E14/'دليل المؤشرات'!$F$6,1)))*'دليل المؤشرات'!$E$6,1),0)))</f>
        <v>11.7</v>
      </c>
      <c r="L14" s="58">
        <f>IF($B14="","",IF(F14="","",IFERROR(ROUND(IF('دليل المؤشرات'!$D$7="↓",MIN('دليل المؤشرات'!$F$7/F14,1),IF('دليل المؤشرات'!$D$7="★",F14/10,MIN(F14/'دليل المؤشرات'!$F$7,1)))*'دليل المؤشرات'!$E$7,1),0)))</f>
        <v>10.7</v>
      </c>
      <c r="M14" s="58">
        <f>IF($B14="","",IF(G14="","",IFERROR(ROUND(IF('دليل المؤشرات'!$D$8="↓",MIN('دليل المؤشرات'!$F$8/G14,1),IF('دليل المؤشرات'!$D$8="★",G14/10,MIN(G14/'دليل المؤشرات'!$F$8,1)))*'دليل المؤشرات'!$E$8,1),0)))</f>
        <v>6.6</v>
      </c>
      <c r="N14" s="58">
        <f>IF($B14="","",IF(H14="","",IFERROR(ROUND(IF('دليل المؤشرات'!$D$9="↓",MIN('دليل المؤشرات'!$F$9/H14,1),IF('دليل المؤشرات'!$D$9="★",H14/10,MIN(H14/'دليل المؤشرات'!$F$9,1)))*'دليل المؤشرات'!$E$9,1),0)))</f>
        <v>7</v>
      </c>
      <c r="O14" s="59">
        <f t="shared" si="0"/>
        <v>72.400000000000006</v>
      </c>
      <c r="P14" s="35" t="str">
        <f t="shared" si="1"/>
        <v>يلبّي التوقعات</v>
      </c>
    </row>
    <row r="15" spans="1:16" ht="21" customHeight="1" x14ac:dyDescent="0.45">
      <c r="A15" s="60">
        <v>12</v>
      </c>
      <c r="B15" s="61" t="s">
        <v>142</v>
      </c>
      <c r="C15" s="57">
        <v>52617</v>
      </c>
      <c r="D15" s="57">
        <v>80</v>
      </c>
      <c r="E15" s="57">
        <v>39</v>
      </c>
      <c r="F15" s="57">
        <v>7.3</v>
      </c>
      <c r="G15" s="57">
        <v>4005</v>
      </c>
      <c r="H15" s="57">
        <v>138</v>
      </c>
      <c r="I15" s="58">
        <f>IF($B15="","",IF(C15="","",IFERROR(ROUND(IF('دليل المؤشرات'!$D$4="↓",MIN('دليل المؤشرات'!$F$4/C15,1),IF('دليل المؤشرات'!$D$4="★",C15/10,MIN(C15/'دليل المؤشرات'!$F$4,1)))*'دليل المؤشرات'!$E$4,1),0)))</f>
        <v>26.3</v>
      </c>
      <c r="J15" s="58">
        <f>IF($B15="","",IF(D15="","",IFERROR(ROUND(IF('دليل المؤشرات'!$D$5="↓",MIN('دليل المؤشرات'!$F$5/D15,1),IF('دليل المؤشرات'!$D$5="★",D15/10,MIN(D15/'دليل المؤشرات'!$F$5,1)))*'دليل المؤشرات'!$E$5,1),0)))</f>
        <v>17.8</v>
      </c>
      <c r="K15" s="58">
        <f>IF($B15="","",IF(E15="","",IFERROR(ROUND(IF('دليل المؤشرات'!$D$6="↓",MIN('دليل المؤشرات'!$F$6/E15,1),IF('دليل المؤشرات'!$D$6="★",E15/10,MIN(E15/'دليل المؤشرات'!$F$6,1)))*'دليل المؤشرات'!$E$6,1),0)))</f>
        <v>11.7</v>
      </c>
      <c r="L15" s="58">
        <f>IF($B15="","",IF(F15="","",IFERROR(ROUND(IF('دليل المؤشرات'!$D$7="↓",MIN('دليل المؤشرات'!$F$7/F15,1),IF('دليل المؤشرات'!$D$7="★",F15/10,MIN(F15/'دليل المؤشرات'!$F$7,1)))*'دليل المؤشرات'!$E$7,1),0)))</f>
        <v>12.2</v>
      </c>
      <c r="M15" s="58">
        <f>IF($B15="","",IF(G15="","",IFERROR(ROUND(IF('دليل المؤشرات'!$D$8="↓",MIN('دليل المؤشرات'!$F$8/G15,1),IF('دليل المؤشرات'!$D$8="★",G15/10,MIN(G15/'دليل المؤشرات'!$F$8,1)))*'دليل المؤشرات'!$E$8,1),0)))</f>
        <v>8</v>
      </c>
      <c r="N15" s="58">
        <f>IF($B15="","",IF(H15="","",IFERROR(ROUND(IF('دليل المؤشرات'!$D$9="↓",MIN('دليل المؤشرات'!$F$9/H15,1),IF('دليل المؤشرات'!$D$9="★",H15/10,MIN(H15/'دليل المؤشرات'!$F$9,1)))*'دليل المؤشرات'!$E$9,1),0)))</f>
        <v>8.9</v>
      </c>
      <c r="O15" s="59">
        <f t="shared" si="0"/>
        <v>84.9</v>
      </c>
      <c r="P15" s="39" t="str">
        <f t="shared" si="1"/>
        <v>يفوق التوقعات</v>
      </c>
    </row>
    <row r="16" spans="1:16" ht="21" customHeight="1" x14ac:dyDescent="0.45">
      <c r="A16" s="55">
        <v>13</v>
      </c>
      <c r="B16" s="56" t="s">
        <v>143</v>
      </c>
      <c r="C16" s="57">
        <v>51421</v>
      </c>
      <c r="D16" s="57">
        <v>77</v>
      </c>
      <c r="E16" s="57">
        <v>45</v>
      </c>
      <c r="F16" s="57">
        <v>8.3000000000000007</v>
      </c>
      <c r="G16" s="57">
        <v>4313</v>
      </c>
      <c r="H16" s="57">
        <v>126</v>
      </c>
      <c r="I16" s="58">
        <f>IF($B16="","",IF(C16="","",IFERROR(ROUND(IF('دليل المؤشرات'!$D$4="↓",MIN('دليل المؤشرات'!$F$4/C16,1),IF('دليل المؤشرات'!$D$4="★",C16/10,MIN(C16/'دليل المؤشرات'!$F$4,1)))*'دليل المؤشرات'!$E$4,1),0)))</f>
        <v>25.7</v>
      </c>
      <c r="J16" s="58">
        <f>IF($B16="","",IF(D16="","",IFERROR(ROUND(IF('دليل المؤشرات'!$D$5="↓",MIN('دليل المؤشرات'!$F$5/D16,1),IF('دليل المؤشرات'!$D$5="★",D16/10,MIN(D16/'دليل المؤشرات'!$F$5,1)))*'دليل المؤشرات'!$E$5,1),0)))</f>
        <v>17.100000000000001</v>
      </c>
      <c r="K16" s="58">
        <f>IF($B16="","",IF(E16="","",IFERROR(ROUND(IF('دليل المؤشرات'!$D$6="↓",MIN('دليل المؤشرات'!$F$6/E16,1),IF('دليل المؤشرات'!$D$6="★",E16/10,MIN(E16/'دليل المؤشرات'!$F$6,1)))*'دليل المؤشرات'!$E$6,1),0)))</f>
        <v>13.5</v>
      </c>
      <c r="L16" s="58">
        <f>IF($B16="","",IF(F16="","",IFERROR(ROUND(IF('دليل المؤشرات'!$D$7="↓",MIN('دليل المؤشرات'!$F$7/F16,1),IF('دليل المؤشرات'!$D$7="★",F16/10,MIN(F16/'دليل المؤشرات'!$F$7,1)))*'دليل المؤشرات'!$E$7,1),0)))</f>
        <v>13.8</v>
      </c>
      <c r="M16" s="58">
        <f>IF($B16="","",IF(G16="","",IFERROR(ROUND(IF('دليل المؤشرات'!$D$8="↓",MIN('دليل المؤشرات'!$F$8/G16,1),IF('دليل المؤشرات'!$D$8="★",G16/10,MIN(G16/'دليل المؤشرات'!$F$8,1)))*'دليل المؤشرات'!$E$8,1),0)))</f>
        <v>8.6</v>
      </c>
      <c r="N16" s="58">
        <f>IF($B16="","",IF(H16="","",IFERROR(ROUND(IF('دليل المؤشرات'!$D$9="↓",MIN('دليل المؤشرات'!$F$9/H16,1),IF('دليل المؤشرات'!$D$9="★",H16/10,MIN(H16/'دليل المؤشرات'!$F$9,1)))*'دليل المؤشرات'!$E$9,1),0)))</f>
        <v>8.1</v>
      </c>
      <c r="O16" s="59">
        <f t="shared" si="0"/>
        <v>86.8</v>
      </c>
      <c r="P16" s="35" t="str">
        <f t="shared" si="1"/>
        <v>يفوق التوقعات</v>
      </c>
    </row>
    <row r="17" spans="1:16" ht="21" customHeight="1" x14ac:dyDescent="0.45">
      <c r="A17" s="60">
        <v>14</v>
      </c>
      <c r="B17" s="61" t="s">
        <v>144</v>
      </c>
      <c r="C17" s="57">
        <v>46554</v>
      </c>
      <c r="D17" s="57">
        <v>73</v>
      </c>
      <c r="E17" s="57">
        <v>43</v>
      </c>
      <c r="F17" s="57">
        <v>7.4</v>
      </c>
      <c r="G17" s="57">
        <v>3996</v>
      </c>
      <c r="H17" s="57">
        <v>126</v>
      </c>
      <c r="I17" s="58">
        <f>IF($B17="","",IF(C17="","",IFERROR(ROUND(IF('دليل المؤشرات'!$D$4="↓",MIN('دليل المؤشرات'!$F$4/C17,1),IF('دليل المؤشرات'!$D$4="★",C17/10,MIN(C17/'دليل المؤشرات'!$F$4,1)))*'دليل المؤشرات'!$E$4,1),0)))</f>
        <v>23.3</v>
      </c>
      <c r="J17" s="58">
        <f>IF($B17="","",IF(D17="","",IFERROR(ROUND(IF('دليل المؤشرات'!$D$5="↓",MIN('دليل المؤشرات'!$F$5/D17,1),IF('دليل المؤشرات'!$D$5="★",D17/10,MIN(D17/'دليل المؤشرات'!$F$5,1)))*'دليل المؤشرات'!$E$5,1),0)))</f>
        <v>16.2</v>
      </c>
      <c r="K17" s="58">
        <f>IF($B17="","",IF(E17="","",IFERROR(ROUND(IF('دليل المؤشرات'!$D$6="↓",MIN('دليل المؤشرات'!$F$6/E17,1),IF('دليل المؤشرات'!$D$6="★",E17/10,MIN(E17/'دليل المؤشرات'!$F$6,1)))*'دليل المؤشرات'!$E$6,1),0)))</f>
        <v>12.9</v>
      </c>
      <c r="L17" s="58">
        <f>IF($B17="","",IF(F17="","",IFERROR(ROUND(IF('دليل المؤشرات'!$D$7="↓",MIN('دليل المؤشرات'!$F$7/F17,1),IF('دليل المؤشرات'!$D$7="★",F17/10,MIN(F17/'دليل المؤشرات'!$F$7,1)))*'دليل المؤشرات'!$E$7,1),0)))</f>
        <v>12.3</v>
      </c>
      <c r="M17" s="58">
        <f>IF($B17="","",IF(G17="","",IFERROR(ROUND(IF('دليل المؤشرات'!$D$8="↓",MIN('دليل المؤشرات'!$F$8/G17,1),IF('دليل المؤشرات'!$D$8="★",G17/10,MIN(G17/'دليل المؤشرات'!$F$8,1)))*'دليل المؤشرات'!$E$8,1),0)))</f>
        <v>8</v>
      </c>
      <c r="N17" s="58">
        <f>IF($B17="","",IF(H17="","",IFERROR(ROUND(IF('دليل المؤشرات'!$D$9="↓",MIN('دليل المؤشرات'!$F$9/H17,1),IF('دليل المؤشرات'!$D$9="★",H17/10,MIN(H17/'دليل المؤشرات'!$F$9,1)))*'دليل المؤشرات'!$E$9,1),0)))</f>
        <v>8.1</v>
      </c>
      <c r="O17" s="59">
        <f t="shared" si="0"/>
        <v>80.8</v>
      </c>
      <c r="P17" s="39" t="str">
        <f t="shared" si="1"/>
        <v>يفوق التوقعات</v>
      </c>
    </row>
    <row r="18" spans="1:16" ht="21" customHeight="1" x14ac:dyDescent="0.45">
      <c r="A18" s="55">
        <v>15</v>
      </c>
      <c r="B18" s="56" t="s">
        <v>145</v>
      </c>
      <c r="C18" s="57">
        <v>46839</v>
      </c>
      <c r="D18" s="57">
        <v>70</v>
      </c>
      <c r="E18" s="57">
        <v>40</v>
      </c>
      <c r="F18" s="57">
        <v>7</v>
      </c>
      <c r="G18" s="57">
        <v>3738</v>
      </c>
      <c r="H18" s="57">
        <v>135</v>
      </c>
      <c r="I18" s="58">
        <f>IF($B18="","",IF(C18="","",IFERROR(ROUND(IF('دليل المؤشرات'!$D$4="↓",MIN('دليل المؤشرات'!$F$4/C18,1),IF('دليل المؤشرات'!$D$4="★",C18/10,MIN(C18/'دليل المؤشرات'!$F$4,1)))*'دليل المؤشرات'!$E$4,1),0)))</f>
        <v>23.4</v>
      </c>
      <c r="J18" s="58">
        <f>IF($B18="","",IF(D18="","",IFERROR(ROUND(IF('دليل المؤشرات'!$D$5="↓",MIN('دليل المؤشرات'!$F$5/D18,1),IF('دليل المؤشرات'!$D$5="★",D18/10,MIN(D18/'دليل المؤشرات'!$F$5,1)))*'دليل المؤشرات'!$E$5,1),0)))</f>
        <v>15.6</v>
      </c>
      <c r="K18" s="58">
        <f>IF($B18="","",IF(E18="","",IFERROR(ROUND(IF('دليل المؤشرات'!$D$6="↓",MIN('دليل المؤشرات'!$F$6/E18,1),IF('دليل المؤشرات'!$D$6="★",E18/10,MIN(E18/'دليل المؤشرات'!$F$6,1)))*'دليل المؤشرات'!$E$6,1),0)))</f>
        <v>12</v>
      </c>
      <c r="L18" s="58">
        <f>IF($B18="","",IF(F18="","",IFERROR(ROUND(IF('دليل المؤشرات'!$D$7="↓",MIN('دليل المؤشرات'!$F$7/F18,1),IF('دليل المؤشرات'!$D$7="★",F18/10,MIN(F18/'دليل المؤشرات'!$F$7,1)))*'دليل المؤشرات'!$E$7,1),0)))</f>
        <v>11.7</v>
      </c>
      <c r="M18" s="58">
        <f>IF($B18="","",IF(G18="","",IFERROR(ROUND(IF('دليل المؤشرات'!$D$8="↓",MIN('دليل المؤشرات'!$F$8/G18,1),IF('دليل المؤشرات'!$D$8="★",G18/10,MIN(G18/'دليل المؤشرات'!$F$8,1)))*'دليل المؤشرات'!$E$8,1),0)))</f>
        <v>7.5</v>
      </c>
      <c r="N18" s="58">
        <f>IF($B18="","",IF(H18="","",IFERROR(ROUND(IF('دليل المؤشرات'!$D$9="↓",MIN('دليل المؤشرات'!$F$9/H18,1),IF('دليل المؤشرات'!$D$9="★",H18/10,MIN(H18/'دليل المؤشرات'!$F$9,1)))*'دليل المؤشرات'!$E$9,1),0)))</f>
        <v>8.6999999999999993</v>
      </c>
      <c r="O18" s="59">
        <f t="shared" si="0"/>
        <v>78.900000000000006</v>
      </c>
      <c r="P18" s="35" t="str">
        <f t="shared" si="1"/>
        <v>يفوق التوقعات</v>
      </c>
    </row>
    <row r="19" spans="1:16" ht="21" customHeight="1" x14ac:dyDescent="0.45">
      <c r="A19" s="60">
        <v>16</v>
      </c>
      <c r="B19" s="61" t="s">
        <v>146</v>
      </c>
      <c r="C19" s="57">
        <v>42807</v>
      </c>
      <c r="D19" s="57">
        <v>71</v>
      </c>
      <c r="E19" s="57">
        <v>36</v>
      </c>
      <c r="F19" s="57">
        <v>7.1</v>
      </c>
      <c r="G19" s="57">
        <v>3897</v>
      </c>
      <c r="H19" s="57">
        <v>131</v>
      </c>
      <c r="I19" s="58">
        <f>IF($B19="","",IF(C19="","",IFERROR(ROUND(IF('دليل المؤشرات'!$D$4="↓",MIN('دليل المؤشرات'!$F$4/C19,1),IF('دليل المؤشرات'!$D$4="★",C19/10,MIN(C19/'دليل المؤشرات'!$F$4,1)))*'دليل المؤشرات'!$E$4,1),0)))</f>
        <v>21.4</v>
      </c>
      <c r="J19" s="58">
        <f>IF($B19="","",IF(D19="","",IFERROR(ROUND(IF('دليل المؤشرات'!$D$5="↓",MIN('دليل المؤشرات'!$F$5/D19,1),IF('دليل المؤشرات'!$D$5="★",D19/10,MIN(D19/'دليل المؤشرات'!$F$5,1)))*'دليل المؤشرات'!$E$5,1),0)))</f>
        <v>15.8</v>
      </c>
      <c r="K19" s="58">
        <f>IF($B19="","",IF(E19="","",IFERROR(ROUND(IF('دليل المؤشرات'!$D$6="↓",MIN('دليل المؤشرات'!$F$6/E19,1),IF('دليل المؤشرات'!$D$6="★",E19/10,MIN(E19/'دليل المؤشرات'!$F$6,1)))*'دليل المؤشرات'!$E$6,1),0)))</f>
        <v>10.8</v>
      </c>
      <c r="L19" s="58">
        <f>IF($B19="","",IF(F19="","",IFERROR(ROUND(IF('دليل المؤشرات'!$D$7="↓",MIN('دليل المؤشرات'!$F$7/F19,1),IF('دليل المؤشرات'!$D$7="★",F19/10,MIN(F19/'دليل المؤشرات'!$F$7,1)))*'دليل المؤشرات'!$E$7,1),0)))</f>
        <v>11.8</v>
      </c>
      <c r="M19" s="58">
        <f>IF($B19="","",IF(G19="","",IFERROR(ROUND(IF('دليل المؤشرات'!$D$8="↓",MIN('دليل المؤشرات'!$F$8/G19,1),IF('دليل المؤشرات'!$D$8="★",G19/10,MIN(G19/'دليل المؤشرات'!$F$8,1)))*'دليل المؤشرات'!$E$8,1),0)))</f>
        <v>7.8</v>
      </c>
      <c r="N19" s="58">
        <f>IF($B19="","",IF(H19="","",IFERROR(ROUND(IF('دليل المؤشرات'!$D$9="↓",MIN('دليل المؤشرات'!$F$9/H19,1),IF('دليل المؤشرات'!$D$9="★",H19/10,MIN(H19/'دليل المؤشرات'!$F$9,1)))*'دليل المؤشرات'!$E$9,1),0)))</f>
        <v>8.5</v>
      </c>
      <c r="O19" s="59">
        <f t="shared" si="0"/>
        <v>76.099999999999994</v>
      </c>
      <c r="P19" s="39" t="str">
        <f t="shared" si="1"/>
        <v>يفوق التوقعات</v>
      </c>
    </row>
    <row r="20" spans="1:16" ht="21" customHeight="1" x14ac:dyDescent="0.45">
      <c r="A20" s="55">
        <v>17</v>
      </c>
      <c r="B20" s="56" t="s">
        <v>147</v>
      </c>
      <c r="C20" s="57">
        <v>45366</v>
      </c>
      <c r="D20" s="57">
        <v>72</v>
      </c>
      <c r="E20" s="57">
        <v>42</v>
      </c>
      <c r="F20" s="57">
        <v>7.1</v>
      </c>
      <c r="G20" s="57">
        <v>3856</v>
      </c>
      <c r="H20" s="57">
        <v>111</v>
      </c>
      <c r="I20" s="58">
        <f>IF($B20="","",IF(C20="","",IFERROR(ROUND(IF('دليل المؤشرات'!$D$4="↓",MIN('دليل المؤشرات'!$F$4/C20,1),IF('دليل المؤشرات'!$D$4="★",C20/10,MIN(C20/'دليل المؤشرات'!$F$4,1)))*'دليل المؤشرات'!$E$4,1),0)))</f>
        <v>22.7</v>
      </c>
      <c r="J20" s="58">
        <f>IF($B20="","",IF(D20="","",IFERROR(ROUND(IF('دليل المؤشرات'!$D$5="↓",MIN('دليل المؤشرات'!$F$5/D20,1),IF('دليل المؤشرات'!$D$5="★",D20/10,MIN(D20/'دليل المؤشرات'!$F$5,1)))*'دليل المؤشرات'!$E$5,1),0)))</f>
        <v>16</v>
      </c>
      <c r="K20" s="58">
        <f>IF($B20="","",IF(E20="","",IFERROR(ROUND(IF('دليل المؤشرات'!$D$6="↓",MIN('دليل المؤشرات'!$F$6/E20,1),IF('دليل المؤشرات'!$D$6="★",E20/10,MIN(E20/'دليل المؤشرات'!$F$6,1)))*'دليل المؤشرات'!$E$6,1),0)))</f>
        <v>12.6</v>
      </c>
      <c r="L20" s="58">
        <f>IF($B20="","",IF(F20="","",IFERROR(ROUND(IF('دليل المؤشرات'!$D$7="↓",MIN('دليل المؤشرات'!$F$7/F20,1),IF('دليل المؤشرات'!$D$7="★",F20/10,MIN(F20/'دليل المؤشرات'!$F$7,1)))*'دليل المؤشرات'!$E$7,1),0)))</f>
        <v>11.8</v>
      </c>
      <c r="M20" s="58">
        <f>IF($B20="","",IF(G20="","",IFERROR(ROUND(IF('دليل المؤشرات'!$D$8="↓",MIN('دليل المؤشرات'!$F$8/G20,1),IF('دليل المؤشرات'!$D$8="★",G20/10,MIN(G20/'دليل المؤشرات'!$F$8,1)))*'دليل المؤشرات'!$E$8,1),0)))</f>
        <v>7.7</v>
      </c>
      <c r="N20" s="58">
        <f>IF($B20="","",IF(H20="","",IFERROR(ROUND(IF('دليل المؤشرات'!$D$9="↓",MIN('دليل المؤشرات'!$F$9/H20,1),IF('دليل المؤشرات'!$D$9="★",H20/10,MIN(H20/'دليل المؤشرات'!$F$9,1)))*'دليل المؤشرات'!$E$9,1),0)))</f>
        <v>7.2</v>
      </c>
      <c r="O20" s="59">
        <f t="shared" si="0"/>
        <v>78</v>
      </c>
      <c r="P20" s="35" t="str">
        <f t="shared" si="1"/>
        <v>يفوق التوقعات</v>
      </c>
    </row>
    <row r="21" spans="1:16" ht="21" customHeight="1" x14ac:dyDescent="0.45">
      <c r="A21" s="60">
        <v>18</v>
      </c>
      <c r="B21" s="61" t="s">
        <v>148</v>
      </c>
      <c r="C21" s="57">
        <v>46689</v>
      </c>
      <c r="D21" s="57">
        <v>68</v>
      </c>
      <c r="E21" s="57">
        <v>36</v>
      </c>
      <c r="F21" s="57">
        <v>7.4</v>
      </c>
      <c r="G21" s="57">
        <v>4094</v>
      </c>
      <c r="H21" s="57">
        <v>121</v>
      </c>
      <c r="I21" s="58">
        <f>IF($B21="","",IF(C21="","",IFERROR(ROUND(IF('دليل المؤشرات'!$D$4="↓",MIN('دليل المؤشرات'!$F$4/C21,1),IF('دليل المؤشرات'!$D$4="★",C21/10,MIN(C21/'دليل المؤشرات'!$F$4,1)))*'دليل المؤشرات'!$E$4,1),0)))</f>
        <v>23.3</v>
      </c>
      <c r="J21" s="58">
        <f>IF($B21="","",IF(D21="","",IFERROR(ROUND(IF('دليل المؤشرات'!$D$5="↓",MIN('دليل المؤشرات'!$F$5/D21,1),IF('دليل المؤشرات'!$D$5="★",D21/10,MIN(D21/'دليل المؤشرات'!$F$5,1)))*'دليل المؤشرات'!$E$5,1),0)))</f>
        <v>15.1</v>
      </c>
      <c r="K21" s="58">
        <f>IF($B21="","",IF(E21="","",IFERROR(ROUND(IF('دليل المؤشرات'!$D$6="↓",MIN('دليل المؤشرات'!$F$6/E21,1),IF('دليل المؤشرات'!$D$6="★",E21/10,MIN(E21/'دليل المؤشرات'!$F$6,1)))*'دليل المؤشرات'!$E$6,1),0)))</f>
        <v>10.8</v>
      </c>
      <c r="L21" s="58">
        <f>IF($B21="","",IF(F21="","",IFERROR(ROUND(IF('دليل المؤشرات'!$D$7="↓",MIN('دليل المؤشرات'!$F$7/F21,1),IF('دليل المؤشرات'!$D$7="★",F21/10,MIN(F21/'دليل المؤشرات'!$F$7,1)))*'دليل المؤشرات'!$E$7,1),0)))</f>
        <v>12.3</v>
      </c>
      <c r="M21" s="58">
        <f>IF($B21="","",IF(G21="","",IFERROR(ROUND(IF('دليل المؤشرات'!$D$8="↓",MIN('دليل المؤشرات'!$F$8/G21,1),IF('دليل المؤشرات'!$D$8="★",G21/10,MIN(G21/'دليل المؤشرات'!$F$8,1)))*'دليل المؤشرات'!$E$8,1),0)))</f>
        <v>8.1999999999999993</v>
      </c>
      <c r="N21" s="58">
        <f>IF($B21="","",IF(H21="","",IFERROR(ROUND(IF('دليل المؤشرات'!$D$9="↓",MIN('دليل المؤشرات'!$F$9/H21,1),IF('دليل المؤشرات'!$D$9="★",H21/10,MIN(H21/'دليل المؤشرات'!$F$9,1)))*'دليل المؤشرات'!$E$9,1),0)))</f>
        <v>7.8</v>
      </c>
      <c r="O21" s="59">
        <f t="shared" si="0"/>
        <v>77.5</v>
      </c>
      <c r="P21" s="39" t="str">
        <f t="shared" si="1"/>
        <v>يفوق التوقعات</v>
      </c>
    </row>
    <row r="22" spans="1:16" ht="21" customHeight="1" x14ac:dyDescent="0.45">
      <c r="A22" s="55">
        <v>19</v>
      </c>
      <c r="B22" s="56"/>
      <c r="C22" s="57"/>
      <c r="D22" s="57"/>
      <c r="E22" s="57"/>
      <c r="F22" s="57"/>
      <c r="G22" s="57"/>
      <c r="H22" s="57"/>
      <c r="I22" s="58" t="str">
        <f>IF($B22="","",IF(C22="","",IFERROR(ROUND(IF('دليل المؤشرات'!$D$4="↓",MIN('دليل المؤشرات'!$F$4/C22,1),IF('دليل المؤشرات'!$D$4="★",C22/10,MIN(C22/'دليل المؤشرات'!$F$4,1)))*'دليل المؤشرات'!$E$4,1),0)))</f>
        <v/>
      </c>
      <c r="J22" s="58" t="str">
        <f>IF($B22="","",IF(D22="","",IFERROR(ROUND(IF('دليل المؤشرات'!$D$5="↓",MIN('دليل المؤشرات'!$F$5/D22,1),IF('دليل المؤشرات'!$D$5="★",D22/10,MIN(D22/'دليل المؤشرات'!$F$5,1)))*'دليل المؤشرات'!$E$5,1),0)))</f>
        <v/>
      </c>
      <c r="K22" s="58" t="str">
        <f>IF($B22="","",IF(E22="","",IFERROR(ROUND(IF('دليل المؤشرات'!$D$6="↓",MIN('دليل المؤشرات'!$F$6/E22,1),IF('دليل المؤشرات'!$D$6="★",E22/10,MIN(E22/'دليل المؤشرات'!$F$6,1)))*'دليل المؤشرات'!$E$6,1),0)))</f>
        <v/>
      </c>
      <c r="L22" s="58" t="str">
        <f>IF($B22="","",IF(F22="","",IFERROR(ROUND(IF('دليل المؤشرات'!$D$7="↓",MIN('دليل المؤشرات'!$F$7/F22,1),IF('دليل المؤشرات'!$D$7="★",F22/10,MIN(F22/'دليل المؤشرات'!$F$7,1)))*'دليل المؤشرات'!$E$7,1),0)))</f>
        <v/>
      </c>
      <c r="M22" s="58" t="str">
        <f>IF($B22="","",IF(G22="","",IFERROR(ROUND(IF('دليل المؤشرات'!$D$8="↓",MIN('دليل المؤشرات'!$F$8/G22,1),IF('دليل المؤشرات'!$D$8="★",G22/10,MIN(G22/'دليل المؤشرات'!$F$8,1)))*'دليل المؤشرات'!$E$8,1),0)))</f>
        <v/>
      </c>
      <c r="N22" s="58" t="str">
        <f>IF($B22="","",IF(H22="","",IFERROR(ROUND(IF('دليل المؤشرات'!$D$9="↓",MIN('دليل المؤشرات'!$F$9/H22,1),IF('دليل المؤشرات'!$D$9="★",H22/10,MIN(H22/'دليل المؤشرات'!$F$9,1)))*'دليل المؤشرات'!$E$9,1),0)))</f>
        <v/>
      </c>
      <c r="O22" s="59" t="str">
        <f t="shared" si="0"/>
        <v/>
      </c>
      <c r="P22" s="35" t="str">
        <f t="shared" si="1"/>
        <v/>
      </c>
    </row>
    <row r="23" spans="1:16" ht="21" customHeight="1" x14ac:dyDescent="0.45">
      <c r="A23" s="60">
        <v>20</v>
      </c>
      <c r="B23" s="61"/>
      <c r="C23" s="57"/>
      <c r="D23" s="57"/>
      <c r="E23" s="57"/>
      <c r="F23" s="57"/>
      <c r="G23" s="57"/>
      <c r="H23" s="57"/>
      <c r="I23" s="58" t="str">
        <f>IF($B23="","",IF(C23="","",IFERROR(ROUND(IF('دليل المؤشرات'!$D$4="↓",MIN('دليل المؤشرات'!$F$4/C23,1),IF('دليل المؤشرات'!$D$4="★",C23/10,MIN(C23/'دليل المؤشرات'!$F$4,1)))*'دليل المؤشرات'!$E$4,1),0)))</f>
        <v/>
      </c>
      <c r="J23" s="58" t="str">
        <f>IF($B23="","",IF(D23="","",IFERROR(ROUND(IF('دليل المؤشرات'!$D$5="↓",MIN('دليل المؤشرات'!$F$5/D23,1),IF('دليل المؤشرات'!$D$5="★",D23/10,MIN(D23/'دليل المؤشرات'!$F$5,1)))*'دليل المؤشرات'!$E$5,1),0)))</f>
        <v/>
      </c>
      <c r="K23" s="58" t="str">
        <f>IF($B23="","",IF(E23="","",IFERROR(ROUND(IF('دليل المؤشرات'!$D$6="↓",MIN('دليل المؤشرات'!$F$6/E23,1),IF('دليل المؤشرات'!$D$6="★",E23/10,MIN(E23/'دليل المؤشرات'!$F$6,1)))*'دليل المؤشرات'!$E$6,1),0)))</f>
        <v/>
      </c>
      <c r="L23" s="58" t="str">
        <f>IF($B23="","",IF(F23="","",IFERROR(ROUND(IF('دليل المؤشرات'!$D$7="↓",MIN('دليل المؤشرات'!$F$7/F23,1),IF('دليل المؤشرات'!$D$7="★",F23/10,MIN(F23/'دليل المؤشرات'!$F$7,1)))*'دليل المؤشرات'!$E$7,1),0)))</f>
        <v/>
      </c>
      <c r="M23" s="58" t="str">
        <f>IF($B23="","",IF(G23="","",IFERROR(ROUND(IF('دليل المؤشرات'!$D$8="↓",MIN('دليل المؤشرات'!$F$8/G23,1),IF('دليل المؤشرات'!$D$8="★",G23/10,MIN(G23/'دليل المؤشرات'!$F$8,1)))*'دليل المؤشرات'!$E$8,1),0)))</f>
        <v/>
      </c>
      <c r="N23" s="58" t="str">
        <f>IF($B23="","",IF(H23="","",IFERROR(ROUND(IF('دليل المؤشرات'!$D$9="↓",MIN('دليل المؤشرات'!$F$9/H23,1),IF('دليل المؤشرات'!$D$9="★",H23/10,MIN(H23/'دليل المؤشرات'!$F$9,1)))*'دليل المؤشرات'!$E$9,1),0)))</f>
        <v/>
      </c>
      <c r="O23" s="59" t="str">
        <f t="shared" si="0"/>
        <v/>
      </c>
      <c r="P23" s="39" t="str">
        <f t="shared" si="1"/>
        <v/>
      </c>
    </row>
    <row r="24" spans="1:16" ht="21" customHeight="1" x14ac:dyDescent="0.45">
      <c r="A24" s="55">
        <v>21</v>
      </c>
      <c r="B24" s="56"/>
      <c r="C24" s="57"/>
      <c r="D24" s="57"/>
      <c r="E24" s="57"/>
      <c r="F24" s="57"/>
      <c r="G24" s="57"/>
      <c r="H24" s="57"/>
      <c r="I24" s="58" t="str">
        <f>IF($B24="","",IF(C24="","",IFERROR(ROUND(IF('دليل المؤشرات'!$D$4="↓",MIN('دليل المؤشرات'!$F$4/C24,1),IF('دليل المؤشرات'!$D$4="★",C24/10,MIN(C24/'دليل المؤشرات'!$F$4,1)))*'دليل المؤشرات'!$E$4,1),0)))</f>
        <v/>
      </c>
      <c r="J24" s="58" t="str">
        <f>IF($B24="","",IF(D24="","",IFERROR(ROUND(IF('دليل المؤشرات'!$D$5="↓",MIN('دليل المؤشرات'!$F$5/D24,1),IF('دليل المؤشرات'!$D$5="★",D24/10,MIN(D24/'دليل المؤشرات'!$F$5,1)))*'دليل المؤشرات'!$E$5,1),0)))</f>
        <v/>
      </c>
      <c r="K24" s="58" t="str">
        <f>IF($B24="","",IF(E24="","",IFERROR(ROUND(IF('دليل المؤشرات'!$D$6="↓",MIN('دليل المؤشرات'!$F$6/E24,1),IF('دليل المؤشرات'!$D$6="★",E24/10,MIN(E24/'دليل المؤشرات'!$F$6,1)))*'دليل المؤشرات'!$E$6,1),0)))</f>
        <v/>
      </c>
      <c r="L24" s="58" t="str">
        <f>IF($B24="","",IF(F24="","",IFERROR(ROUND(IF('دليل المؤشرات'!$D$7="↓",MIN('دليل المؤشرات'!$F$7/F24,1),IF('دليل المؤشرات'!$D$7="★",F24/10,MIN(F24/'دليل المؤشرات'!$F$7,1)))*'دليل المؤشرات'!$E$7,1),0)))</f>
        <v/>
      </c>
      <c r="M24" s="58" t="str">
        <f>IF($B24="","",IF(G24="","",IFERROR(ROUND(IF('دليل المؤشرات'!$D$8="↓",MIN('دليل المؤشرات'!$F$8/G24,1),IF('دليل المؤشرات'!$D$8="★",G24/10,MIN(G24/'دليل المؤشرات'!$F$8,1)))*'دليل المؤشرات'!$E$8,1),0)))</f>
        <v/>
      </c>
      <c r="N24" s="58" t="str">
        <f>IF($B24="","",IF(H24="","",IFERROR(ROUND(IF('دليل المؤشرات'!$D$9="↓",MIN('دليل المؤشرات'!$F$9/H24,1),IF('دليل المؤشرات'!$D$9="★",H24/10,MIN(H24/'دليل المؤشرات'!$F$9,1)))*'دليل المؤشرات'!$E$9,1),0)))</f>
        <v/>
      </c>
      <c r="O24" s="59" t="str">
        <f t="shared" si="0"/>
        <v/>
      </c>
      <c r="P24" s="35" t="str">
        <f t="shared" si="1"/>
        <v/>
      </c>
    </row>
    <row r="25" spans="1:16" ht="21" customHeight="1" x14ac:dyDescent="0.45">
      <c r="A25" s="60">
        <v>22</v>
      </c>
      <c r="B25" s="61"/>
      <c r="C25" s="57"/>
      <c r="D25" s="57"/>
      <c r="E25" s="57"/>
      <c r="F25" s="57"/>
      <c r="G25" s="57"/>
      <c r="H25" s="57"/>
      <c r="I25" s="58" t="str">
        <f>IF($B25="","",IF(C25="","",IFERROR(ROUND(IF('دليل المؤشرات'!$D$4="↓",MIN('دليل المؤشرات'!$F$4/C25,1),IF('دليل المؤشرات'!$D$4="★",C25/10,MIN(C25/'دليل المؤشرات'!$F$4,1)))*'دليل المؤشرات'!$E$4,1),0)))</f>
        <v/>
      </c>
      <c r="J25" s="58" t="str">
        <f>IF($B25="","",IF(D25="","",IFERROR(ROUND(IF('دليل المؤشرات'!$D$5="↓",MIN('دليل المؤشرات'!$F$5/D25,1),IF('دليل المؤشرات'!$D$5="★",D25/10,MIN(D25/'دليل المؤشرات'!$F$5,1)))*'دليل المؤشرات'!$E$5,1),0)))</f>
        <v/>
      </c>
      <c r="K25" s="58" t="str">
        <f>IF($B25="","",IF(E25="","",IFERROR(ROUND(IF('دليل المؤشرات'!$D$6="↓",MIN('دليل المؤشرات'!$F$6/E25,1),IF('دليل المؤشرات'!$D$6="★",E25/10,MIN(E25/'دليل المؤشرات'!$F$6,1)))*'دليل المؤشرات'!$E$6,1),0)))</f>
        <v/>
      </c>
      <c r="L25" s="58" t="str">
        <f>IF($B25="","",IF(F25="","",IFERROR(ROUND(IF('دليل المؤشرات'!$D$7="↓",MIN('دليل المؤشرات'!$F$7/F25,1),IF('دليل المؤشرات'!$D$7="★",F25/10,MIN(F25/'دليل المؤشرات'!$F$7,1)))*'دليل المؤشرات'!$E$7,1),0)))</f>
        <v/>
      </c>
      <c r="M25" s="58" t="str">
        <f>IF($B25="","",IF(G25="","",IFERROR(ROUND(IF('دليل المؤشرات'!$D$8="↓",MIN('دليل المؤشرات'!$F$8/G25,1),IF('دليل المؤشرات'!$D$8="★",G25/10,MIN(G25/'دليل المؤشرات'!$F$8,1)))*'دليل المؤشرات'!$E$8,1),0)))</f>
        <v/>
      </c>
      <c r="N25" s="58" t="str">
        <f>IF($B25="","",IF(H25="","",IFERROR(ROUND(IF('دليل المؤشرات'!$D$9="↓",MIN('دليل المؤشرات'!$F$9/H25,1),IF('دليل المؤشرات'!$D$9="★",H25/10,MIN(H25/'دليل المؤشرات'!$F$9,1)))*'دليل المؤشرات'!$E$9,1),0)))</f>
        <v/>
      </c>
      <c r="O25" s="59" t="str">
        <f t="shared" si="0"/>
        <v/>
      </c>
      <c r="P25" s="39" t="str">
        <f t="shared" si="1"/>
        <v/>
      </c>
    </row>
    <row r="26" spans="1:16" ht="21" customHeight="1" x14ac:dyDescent="0.45">
      <c r="A26" s="55">
        <v>23</v>
      </c>
      <c r="B26" s="56"/>
      <c r="C26" s="57"/>
      <c r="D26" s="57"/>
      <c r="E26" s="57"/>
      <c r="F26" s="57"/>
      <c r="G26" s="57"/>
      <c r="H26" s="57"/>
      <c r="I26" s="58" t="str">
        <f>IF($B26="","",IF(C26="","",IFERROR(ROUND(IF('دليل المؤشرات'!$D$4="↓",MIN('دليل المؤشرات'!$F$4/C26,1),IF('دليل المؤشرات'!$D$4="★",C26/10,MIN(C26/'دليل المؤشرات'!$F$4,1)))*'دليل المؤشرات'!$E$4,1),0)))</f>
        <v/>
      </c>
      <c r="J26" s="58" t="str">
        <f>IF($B26="","",IF(D26="","",IFERROR(ROUND(IF('دليل المؤشرات'!$D$5="↓",MIN('دليل المؤشرات'!$F$5/D26,1),IF('دليل المؤشرات'!$D$5="★",D26/10,MIN(D26/'دليل المؤشرات'!$F$5,1)))*'دليل المؤشرات'!$E$5,1),0)))</f>
        <v/>
      </c>
      <c r="K26" s="58" t="str">
        <f>IF($B26="","",IF(E26="","",IFERROR(ROUND(IF('دليل المؤشرات'!$D$6="↓",MIN('دليل المؤشرات'!$F$6/E26,1),IF('دليل المؤشرات'!$D$6="★",E26/10,MIN(E26/'دليل المؤشرات'!$F$6,1)))*'دليل المؤشرات'!$E$6,1),0)))</f>
        <v/>
      </c>
      <c r="L26" s="58" t="str">
        <f>IF($B26="","",IF(F26="","",IFERROR(ROUND(IF('دليل المؤشرات'!$D$7="↓",MIN('دليل المؤشرات'!$F$7/F26,1),IF('دليل المؤشرات'!$D$7="★",F26/10,MIN(F26/'دليل المؤشرات'!$F$7,1)))*'دليل المؤشرات'!$E$7,1),0)))</f>
        <v/>
      </c>
      <c r="M26" s="58" t="str">
        <f>IF($B26="","",IF(G26="","",IFERROR(ROUND(IF('دليل المؤشرات'!$D$8="↓",MIN('دليل المؤشرات'!$F$8/G26,1),IF('دليل المؤشرات'!$D$8="★",G26/10,MIN(G26/'دليل المؤشرات'!$F$8,1)))*'دليل المؤشرات'!$E$8,1),0)))</f>
        <v/>
      </c>
      <c r="N26" s="58" t="str">
        <f>IF($B26="","",IF(H26="","",IFERROR(ROUND(IF('دليل المؤشرات'!$D$9="↓",MIN('دليل المؤشرات'!$F$9/H26,1),IF('دليل المؤشرات'!$D$9="★",H26/10,MIN(H26/'دليل المؤشرات'!$F$9,1)))*'دليل المؤشرات'!$E$9,1),0)))</f>
        <v/>
      </c>
      <c r="O26" s="59" t="str">
        <f t="shared" si="0"/>
        <v/>
      </c>
      <c r="P26" s="35" t="str">
        <f t="shared" si="1"/>
        <v/>
      </c>
    </row>
    <row r="27" spans="1:16" ht="21" customHeight="1" x14ac:dyDescent="0.45">
      <c r="A27" s="60">
        <v>24</v>
      </c>
      <c r="B27" s="61"/>
      <c r="C27" s="57"/>
      <c r="D27" s="57"/>
      <c r="E27" s="57"/>
      <c r="F27" s="57"/>
      <c r="G27" s="57"/>
      <c r="H27" s="57"/>
      <c r="I27" s="58" t="str">
        <f>IF($B27="","",IF(C27="","",IFERROR(ROUND(IF('دليل المؤشرات'!$D$4="↓",MIN('دليل المؤشرات'!$F$4/C27,1),IF('دليل المؤشرات'!$D$4="★",C27/10,MIN(C27/'دليل المؤشرات'!$F$4,1)))*'دليل المؤشرات'!$E$4,1),0)))</f>
        <v/>
      </c>
      <c r="J27" s="58" t="str">
        <f>IF($B27="","",IF(D27="","",IFERROR(ROUND(IF('دليل المؤشرات'!$D$5="↓",MIN('دليل المؤشرات'!$F$5/D27,1),IF('دليل المؤشرات'!$D$5="★",D27/10,MIN(D27/'دليل المؤشرات'!$F$5,1)))*'دليل المؤشرات'!$E$5,1),0)))</f>
        <v/>
      </c>
      <c r="K27" s="58" t="str">
        <f>IF($B27="","",IF(E27="","",IFERROR(ROUND(IF('دليل المؤشرات'!$D$6="↓",MIN('دليل المؤشرات'!$F$6/E27,1),IF('دليل المؤشرات'!$D$6="★",E27/10,MIN(E27/'دليل المؤشرات'!$F$6,1)))*'دليل المؤشرات'!$E$6,1),0)))</f>
        <v/>
      </c>
      <c r="L27" s="58" t="str">
        <f>IF($B27="","",IF(F27="","",IFERROR(ROUND(IF('دليل المؤشرات'!$D$7="↓",MIN('دليل المؤشرات'!$F$7/F27,1),IF('دليل المؤشرات'!$D$7="★",F27/10,MIN(F27/'دليل المؤشرات'!$F$7,1)))*'دليل المؤشرات'!$E$7,1),0)))</f>
        <v/>
      </c>
      <c r="M27" s="58" t="str">
        <f>IF($B27="","",IF(G27="","",IFERROR(ROUND(IF('دليل المؤشرات'!$D$8="↓",MIN('دليل المؤشرات'!$F$8/G27,1),IF('دليل المؤشرات'!$D$8="★",G27/10,MIN(G27/'دليل المؤشرات'!$F$8,1)))*'دليل المؤشرات'!$E$8,1),0)))</f>
        <v/>
      </c>
      <c r="N27" s="58" t="str">
        <f>IF($B27="","",IF(H27="","",IFERROR(ROUND(IF('دليل المؤشرات'!$D$9="↓",MIN('دليل المؤشرات'!$F$9/H27,1),IF('دليل المؤشرات'!$D$9="★",H27/10,MIN(H27/'دليل المؤشرات'!$F$9,1)))*'دليل المؤشرات'!$E$9,1),0)))</f>
        <v/>
      </c>
      <c r="O27" s="59" t="str">
        <f t="shared" si="0"/>
        <v/>
      </c>
      <c r="P27" s="39" t="str">
        <f t="shared" si="1"/>
        <v/>
      </c>
    </row>
    <row r="28" spans="1:16" ht="21" customHeight="1" x14ac:dyDescent="0.45">
      <c r="A28" s="55">
        <v>25</v>
      </c>
      <c r="B28" s="56"/>
      <c r="C28" s="57"/>
      <c r="D28" s="57"/>
      <c r="E28" s="57"/>
      <c r="F28" s="57"/>
      <c r="G28" s="57"/>
      <c r="H28" s="57"/>
      <c r="I28" s="58" t="str">
        <f>IF($B28="","",IF(C28="","",IFERROR(ROUND(IF('دليل المؤشرات'!$D$4="↓",MIN('دليل المؤشرات'!$F$4/C28,1),IF('دليل المؤشرات'!$D$4="★",C28/10,MIN(C28/'دليل المؤشرات'!$F$4,1)))*'دليل المؤشرات'!$E$4,1),0)))</f>
        <v/>
      </c>
      <c r="J28" s="58" t="str">
        <f>IF($B28="","",IF(D28="","",IFERROR(ROUND(IF('دليل المؤشرات'!$D$5="↓",MIN('دليل المؤشرات'!$F$5/D28,1),IF('دليل المؤشرات'!$D$5="★",D28/10,MIN(D28/'دليل المؤشرات'!$F$5,1)))*'دليل المؤشرات'!$E$5,1),0)))</f>
        <v/>
      </c>
      <c r="K28" s="58" t="str">
        <f>IF($B28="","",IF(E28="","",IFERROR(ROUND(IF('دليل المؤشرات'!$D$6="↓",MIN('دليل المؤشرات'!$F$6/E28,1),IF('دليل المؤشرات'!$D$6="★",E28/10,MIN(E28/'دليل المؤشرات'!$F$6,1)))*'دليل المؤشرات'!$E$6,1),0)))</f>
        <v/>
      </c>
      <c r="L28" s="58" t="str">
        <f>IF($B28="","",IF(F28="","",IFERROR(ROUND(IF('دليل المؤشرات'!$D$7="↓",MIN('دليل المؤشرات'!$F$7/F28,1),IF('دليل المؤشرات'!$D$7="★",F28/10,MIN(F28/'دليل المؤشرات'!$F$7,1)))*'دليل المؤشرات'!$E$7,1),0)))</f>
        <v/>
      </c>
      <c r="M28" s="58" t="str">
        <f>IF($B28="","",IF(G28="","",IFERROR(ROUND(IF('دليل المؤشرات'!$D$8="↓",MIN('دليل المؤشرات'!$F$8/G28,1),IF('دليل المؤشرات'!$D$8="★",G28/10,MIN(G28/'دليل المؤشرات'!$F$8,1)))*'دليل المؤشرات'!$E$8,1),0)))</f>
        <v/>
      </c>
      <c r="N28" s="58" t="str">
        <f>IF($B28="","",IF(H28="","",IFERROR(ROUND(IF('دليل المؤشرات'!$D$9="↓",MIN('دليل المؤشرات'!$F$9/H28,1),IF('دليل المؤشرات'!$D$9="★",H28/10,MIN(H28/'دليل المؤشرات'!$F$9,1)))*'دليل المؤشرات'!$E$9,1),0)))</f>
        <v/>
      </c>
      <c r="O28" s="59" t="str">
        <f t="shared" si="0"/>
        <v/>
      </c>
      <c r="P28" s="35" t="str">
        <f t="shared" si="1"/>
        <v/>
      </c>
    </row>
    <row r="30" spans="1:16" ht="15" x14ac:dyDescent="0.45">
      <c r="B30" s="89" t="s">
        <v>149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62">
        <f>IFERROR(ROUND(AVERAGE(O4:O28),1),0)</f>
        <v>80.400000000000006</v>
      </c>
      <c r="P30" s="27" t="str">
        <f>COUNTA(B4:B28)&amp;" موظف"</f>
        <v>18 موظف</v>
      </c>
    </row>
  </sheetData>
  <mergeCells count="2">
    <mergeCell ref="A1:P1"/>
    <mergeCell ref="B30:N30"/>
  </mergeCells>
  <conditionalFormatting sqref="O4:O28">
    <cfRule type="colorScale" priority="2">
      <colorScale>
        <cfvo type="num" val="40"/>
        <cfvo type="num" val="70"/>
        <cfvo type="num" val="95"/>
        <color rgb="FFF2A9A2"/>
        <color rgb="FFFBE3A6"/>
        <color rgb="FFA6D2B4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0"/>
  <sheetViews>
    <sheetView showGridLines="0"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P1"/>
    </sheetView>
  </sheetViews>
  <sheetFormatPr defaultColWidth="8.6640625" defaultRowHeight="14.25" x14ac:dyDescent="0.45"/>
  <cols>
    <col min="1" max="1" width="3.46484375" customWidth="1"/>
    <col min="2" max="2" width="22" customWidth="1"/>
    <col min="3" max="8" width="13" customWidth="1"/>
    <col min="9" max="14" width="6.53125" customWidth="1"/>
    <col min="15" max="15" width="11" customWidth="1"/>
    <col min="16" max="16" width="15" customWidth="1"/>
  </cols>
  <sheetData>
    <row r="1" spans="1:16" ht="33.75" customHeight="1" x14ac:dyDescent="0.45">
      <c r="A1" s="86" t="s">
        <v>150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42" customHeight="1" x14ac:dyDescent="0.45">
      <c r="A2" s="48" t="s">
        <v>121</v>
      </c>
      <c r="B2" s="34" t="s">
        <v>122</v>
      </c>
      <c r="C2" s="49" t="s">
        <v>86</v>
      </c>
      <c r="D2" s="49" t="s">
        <v>87</v>
      </c>
      <c r="E2" s="49" t="s">
        <v>89</v>
      </c>
      <c r="F2" s="49" t="s">
        <v>90</v>
      </c>
      <c r="G2" s="49" t="s">
        <v>91</v>
      </c>
      <c r="H2" s="49" t="s">
        <v>92</v>
      </c>
      <c r="I2" s="50" t="s">
        <v>123</v>
      </c>
      <c r="J2" s="50" t="s">
        <v>124</v>
      </c>
      <c r="K2" s="50" t="s">
        <v>125</v>
      </c>
      <c r="L2" s="50" t="s">
        <v>126</v>
      </c>
      <c r="M2" s="50" t="s">
        <v>127</v>
      </c>
      <c r="N2" s="50" t="s">
        <v>128</v>
      </c>
      <c r="O2" s="51" t="s">
        <v>21</v>
      </c>
      <c r="P2" s="51" t="s">
        <v>12</v>
      </c>
    </row>
    <row r="3" spans="1:16" ht="18" customHeight="1" x14ac:dyDescent="0.45">
      <c r="A3" s="47"/>
      <c r="B3" s="52" t="s">
        <v>129</v>
      </c>
      <c r="C3" s="53">
        <f>'دليل المؤشرات'!F11</f>
        <v>90</v>
      </c>
      <c r="D3" s="53">
        <f>'دليل المؤشرات'!F12</f>
        <v>30</v>
      </c>
      <c r="E3" s="53">
        <f>'دليل المؤشرات'!F13</f>
        <v>8</v>
      </c>
      <c r="F3" s="53">
        <f>'دليل المؤشرات'!F14</f>
        <v>80</v>
      </c>
      <c r="G3" s="53">
        <f>'دليل المؤشرات'!F15</f>
        <v>4000</v>
      </c>
      <c r="H3" s="53">
        <f>'دليل المؤشرات'!F16</f>
        <v>10</v>
      </c>
      <c r="I3" s="54">
        <f>'دليل المؤشرات'!E11</f>
        <v>25</v>
      </c>
      <c r="J3" s="54">
        <f>'دليل المؤشرات'!E12</f>
        <v>20</v>
      </c>
      <c r="K3" s="54">
        <f>'دليل المؤشرات'!E13</f>
        <v>15</v>
      </c>
      <c r="L3" s="54">
        <f>'دليل المؤشرات'!E14</f>
        <v>15</v>
      </c>
      <c r="M3" s="54">
        <f>'دليل المؤشرات'!E15</f>
        <v>15</v>
      </c>
      <c r="N3" s="54">
        <f>'دليل المؤشرات'!E16</f>
        <v>10</v>
      </c>
      <c r="O3" s="30" t="s">
        <v>130</v>
      </c>
      <c r="P3" s="47"/>
    </row>
    <row r="4" spans="1:16" ht="21" customHeight="1" x14ac:dyDescent="0.45">
      <c r="A4" s="55">
        <v>1</v>
      </c>
      <c r="B4" s="56" t="s">
        <v>151</v>
      </c>
      <c r="C4" s="57">
        <v>62</v>
      </c>
      <c r="D4" s="57">
        <v>40.4</v>
      </c>
      <c r="E4" s="57">
        <v>5.3</v>
      </c>
      <c r="F4" s="57">
        <v>52</v>
      </c>
      <c r="G4" s="57">
        <v>5784</v>
      </c>
      <c r="H4" s="57">
        <v>7</v>
      </c>
      <c r="I4" s="58">
        <f>IF($B4="","",IF(C4="","",IFERROR(ROUND(IF('دليل المؤشرات'!$D$11="↓",MIN('دليل المؤشرات'!$F$11/C4,1),IF('دليل المؤشرات'!$D$11="★",C4/10,MIN(C4/'دليل المؤشرات'!$F$11,1)))*'دليل المؤشرات'!$E$11,1),0)))</f>
        <v>17.2</v>
      </c>
      <c r="J4" s="58">
        <f>IF($B4="","",IF(D4="","",IFERROR(ROUND(IF('دليل المؤشرات'!$D$12="↓",MIN('دليل المؤشرات'!$F$12/D4,1),IF('دليل المؤشرات'!$D$12="★",D4/10,MIN(D4/'دليل المؤشرات'!$F$12,1)))*'دليل المؤشرات'!$E$12,1),0)))</f>
        <v>14.9</v>
      </c>
      <c r="K4" s="58">
        <f>IF($B4="","",IF(E4="","",IFERROR(ROUND(IF('دليل المؤشرات'!$D$13="↓",MIN('دليل المؤشرات'!$F$13/E4,1),IF('دليل المؤشرات'!$D$13="★",E4/10,MIN(E4/'دليل المؤشرات'!$F$13,1)))*'دليل المؤشرات'!$E$13,1),0)))</f>
        <v>9.9</v>
      </c>
      <c r="L4" s="58">
        <f>IF($B4="","",IF(F4="","",IFERROR(ROUND(IF('دليل المؤشرات'!$D$14="↓",MIN('دليل المؤشرات'!$F$14/F4,1),IF('دليل المؤشرات'!$D$14="★",F4/10,MIN(F4/'دليل المؤشرات'!$F$14,1)))*'دليل المؤشرات'!$E$14,1),0)))</f>
        <v>9.8000000000000007</v>
      </c>
      <c r="M4" s="58">
        <f>IF($B4="","",IF(G4="","",IFERROR(ROUND(IF('دليل المؤشرات'!$D$15="↓",MIN('دليل المؤشرات'!$F$15/G4,1),IF('دليل المؤشرات'!$D$15="★",G4/10,MIN(G4/'دليل المؤشرات'!$F$15,1)))*'دليل المؤشرات'!$E$15,1),0)))</f>
        <v>10.4</v>
      </c>
      <c r="N4" s="58">
        <f>IF($B4="","",IF(H4="","",IFERROR(ROUND(IF('دليل المؤشرات'!$D$16="↓",MIN('دليل المؤشرات'!$F$16/H4,1),IF('دليل المؤشرات'!$D$16="★",H4/10,MIN(H4/'دليل المؤشرات'!$F$16,1)))*'دليل المؤشرات'!$E$16,1),0)))</f>
        <v>7</v>
      </c>
      <c r="O4" s="59">
        <f t="shared" ref="O4:O28" si="0">IF(B4="","",ROUND(SUM(I4:N4),1))</f>
        <v>69.2</v>
      </c>
      <c r="P4" s="35" t="str">
        <f t="shared" ref="P4:P28" si="1">IF(O4="","",IF(O4&gt;=90,"أداء متميز",IF(O4&gt;=75,"يفوق التوقعات",IF(O4&gt;=60,"يلبّي التوقعات",IF(O4&gt;=45,"يحتاج تطوير","غير مُرضٍ")))))</f>
        <v>يلبّي التوقعات</v>
      </c>
    </row>
    <row r="5" spans="1:16" ht="21" customHeight="1" x14ac:dyDescent="0.45">
      <c r="A5" s="60">
        <v>2</v>
      </c>
      <c r="B5" s="61" t="s">
        <v>152</v>
      </c>
      <c r="C5" s="57">
        <v>65</v>
      </c>
      <c r="D5" s="57">
        <v>42.1</v>
      </c>
      <c r="E5" s="57">
        <v>5.0999999999999996</v>
      </c>
      <c r="F5" s="57">
        <v>55</v>
      </c>
      <c r="G5" s="57">
        <v>6056</v>
      </c>
      <c r="H5" s="57">
        <v>6</v>
      </c>
      <c r="I5" s="58">
        <f>IF($B5="","",IF(C5="","",IFERROR(ROUND(IF('دليل المؤشرات'!$D$11="↓",MIN('دليل المؤشرات'!$F$11/C5,1),IF('دليل المؤشرات'!$D$11="★",C5/10,MIN(C5/'دليل المؤشرات'!$F$11,1)))*'دليل المؤشرات'!$E$11,1),0)))</f>
        <v>18.100000000000001</v>
      </c>
      <c r="J5" s="58">
        <f>IF($B5="","",IF(D5="","",IFERROR(ROUND(IF('دليل المؤشرات'!$D$12="↓",MIN('دليل المؤشرات'!$F$12/D5,1),IF('دليل المؤشرات'!$D$12="★",D5/10,MIN(D5/'دليل المؤشرات'!$F$12,1)))*'دليل المؤشرات'!$E$12,1),0)))</f>
        <v>14.3</v>
      </c>
      <c r="K5" s="58">
        <f>IF($B5="","",IF(E5="","",IFERROR(ROUND(IF('دليل المؤشرات'!$D$13="↓",MIN('دليل المؤشرات'!$F$13/E5,1),IF('دليل المؤشرات'!$D$13="★",E5/10,MIN(E5/'دليل المؤشرات'!$F$13,1)))*'دليل المؤشرات'!$E$13,1),0)))</f>
        <v>9.6</v>
      </c>
      <c r="L5" s="58">
        <f>IF($B5="","",IF(F5="","",IFERROR(ROUND(IF('دليل المؤشرات'!$D$14="↓",MIN('دليل المؤشرات'!$F$14/F5,1),IF('دليل المؤشرات'!$D$14="★",F5/10,MIN(F5/'دليل المؤشرات'!$F$14,1)))*'دليل المؤشرات'!$E$14,1),0)))</f>
        <v>10.3</v>
      </c>
      <c r="M5" s="58">
        <f>IF($B5="","",IF(G5="","",IFERROR(ROUND(IF('دليل المؤشرات'!$D$15="↓",MIN('دليل المؤشرات'!$F$15/G5,1),IF('دليل المؤشرات'!$D$15="★",G5/10,MIN(G5/'دليل المؤشرات'!$F$15,1)))*'دليل المؤشرات'!$E$15,1),0)))</f>
        <v>9.9</v>
      </c>
      <c r="N5" s="58">
        <f>IF($B5="","",IF(H5="","",IFERROR(ROUND(IF('دليل المؤشرات'!$D$16="↓",MIN('دليل المؤشرات'!$F$16/H5,1),IF('دليل المؤشرات'!$D$16="★",H5/10,MIN(H5/'دليل المؤشرات'!$F$16,1)))*'دليل المؤشرات'!$E$16,1),0)))</f>
        <v>6</v>
      </c>
      <c r="O5" s="59">
        <f t="shared" si="0"/>
        <v>68.2</v>
      </c>
      <c r="P5" s="39" t="str">
        <f t="shared" si="1"/>
        <v>يلبّي التوقعات</v>
      </c>
    </row>
    <row r="6" spans="1:16" ht="21" customHeight="1" x14ac:dyDescent="0.45">
      <c r="A6" s="55">
        <v>3</v>
      </c>
      <c r="B6" s="56" t="s">
        <v>153</v>
      </c>
      <c r="C6" s="57">
        <v>59</v>
      </c>
      <c r="D6" s="57">
        <v>48.5</v>
      </c>
      <c r="E6" s="57">
        <v>5.4</v>
      </c>
      <c r="F6" s="57">
        <v>51</v>
      </c>
      <c r="G6" s="57">
        <v>5722</v>
      </c>
      <c r="H6" s="57">
        <v>7</v>
      </c>
      <c r="I6" s="58">
        <f>IF($B6="","",IF(C6="","",IFERROR(ROUND(IF('دليل المؤشرات'!$D$11="↓",MIN('دليل المؤشرات'!$F$11/C6,1),IF('دليل المؤشرات'!$D$11="★",C6/10,MIN(C6/'دليل المؤشرات'!$F$11,1)))*'دليل المؤشرات'!$E$11,1),0)))</f>
        <v>16.399999999999999</v>
      </c>
      <c r="J6" s="58">
        <f>IF($B6="","",IF(D6="","",IFERROR(ROUND(IF('دليل المؤشرات'!$D$12="↓",MIN('دليل المؤشرات'!$F$12/D6,1),IF('دليل المؤشرات'!$D$12="★",D6/10,MIN(D6/'دليل المؤشرات'!$F$12,1)))*'دليل المؤشرات'!$E$12,1),0)))</f>
        <v>12.4</v>
      </c>
      <c r="K6" s="58">
        <f>IF($B6="","",IF(E6="","",IFERROR(ROUND(IF('دليل المؤشرات'!$D$13="↓",MIN('دليل المؤشرات'!$F$13/E6,1),IF('دليل المؤشرات'!$D$13="★",E6/10,MIN(E6/'دليل المؤشرات'!$F$13,1)))*'دليل المؤشرات'!$E$13,1),0)))</f>
        <v>10.1</v>
      </c>
      <c r="L6" s="58">
        <f>IF($B6="","",IF(F6="","",IFERROR(ROUND(IF('دليل المؤشرات'!$D$14="↓",MIN('دليل المؤشرات'!$F$14/F6,1),IF('دليل المؤشرات'!$D$14="★",F6/10,MIN(F6/'دليل المؤشرات'!$F$14,1)))*'دليل المؤشرات'!$E$14,1),0)))</f>
        <v>9.6</v>
      </c>
      <c r="M6" s="58">
        <f>IF($B6="","",IF(G6="","",IFERROR(ROUND(IF('دليل المؤشرات'!$D$15="↓",MIN('دليل المؤشرات'!$F$15/G6,1),IF('دليل المؤشرات'!$D$15="★",G6/10,MIN(G6/'دليل المؤشرات'!$F$15,1)))*'دليل المؤشرات'!$E$15,1),0)))</f>
        <v>10.5</v>
      </c>
      <c r="N6" s="58">
        <f>IF($B6="","",IF(H6="","",IFERROR(ROUND(IF('دليل المؤشرات'!$D$16="↓",MIN('دليل المؤشرات'!$F$16/H6,1),IF('دليل المؤشرات'!$D$16="★",H6/10,MIN(H6/'دليل المؤشرات'!$F$16,1)))*'دليل المؤشرات'!$E$16,1),0)))</f>
        <v>7</v>
      </c>
      <c r="O6" s="59">
        <f t="shared" si="0"/>
        <v>66</v>
      </c>
      <c r="P6" s="35" t="str">
        <f t="shared" si="1"/>
        <v>يلبّي التوقعات</v>
      </c>
    </row>
    <row r="7" spans="1:16" ht="21" customHeight="1" x14ac:dyDescent="0.45">
      <c r="A7" s="60">
        <v>4</v>
      </c>
      <c r="B7" s="61" t="s">
        <v>154</v>
      </c>
      <c r="C7" s="57">
        <v>48</v>
      </c>
      <c r="D7" s="57">
        <v>52.6</v>
      </c>
      <c r="E7" s="57">
        <v>4.4000000000000004</v>
      </c>
      <c r="F7" s="57">
        <v>46</v>
      </c>
      <c r="G7" s="57">
        <v>6350</v>
      </c>
      <c r="H7" s="57">
        <v>6</v>
      </c>
      <c r="I7" s="58">
        <f>IF($B7="","",IF(C7="","",IFERROR(ROUND(IF('دليل المؤشرات'!$D$11="↓",MIN('دليل المؤشرات'!$F$11/C7,1),IF('دليل المؤشرات'!$D$11="★",C7/10,MIN(C7/'دليل المؤشرات'!$F$11,1)))*'دليل المؤشرات'!$E$11,1),0)))</f>
        <v>13.3</v>
      </c>
      <c r="J7" s="58">
        <f>IF($B7="","",IF(D7="","",IFERROR(ROUND(IF('دليل المؤشرات'!$D$12="↓",MIN('دليل المؤشرات'!$F$12/D7,1),IF('دليل المؤشرات'!$D$12="★",D7/10,MIN(D7/'دليل المؤشرات'!$F$12,1)))*'دليل المؤشرات'!$E$12,1),0)))</f>
        <v>11.4</v>
      </c>
      <c r="K7" s="58">
        <f>IF($B7="","",IF(E7="","",IFERROR(ROUND(IF('دليل المؤشرات'!$D$13="↓",MIN('دليل المؤشرات'!$F$13/E7,1),IF('دليل المؤشرات'!$D$13="★",E7/10,MIN(E7/'دليل المؤشرات'!$F$13,1)))*'دليل المؤشرات'!$E$13,1),0)))</f>
        <v>8.3000000000000007</v>
      </c>
      <c r="L7" s="58">
        <f>IF($B7="","",IF(F7="","",IFERROR(ROUND(IF('دليل المؤشرات'!$D$14="↓",MIN('دليل المؤشرات'!$F$14/F7,1),IF('دليل المؤشرات'!$D$14="★",F7/10,MIN(F7/'دليل المؤشرات'!$F$14,1)))*'دليل المؤشرات'!$E$14,1),0)))</f>
        <v>8.6</v>
      </c>
      <c r="M7" s="58">
        <f>IF($B7="","",IF(G7="","",IFERROR(ROUND(IF('دليل المؤشرات'!$D$15="↓",MIN('دليل المؤشرات'!$F$15/G7,1),IF('دليل المؤشرات'!$D$15="★",G7/10,MIN(G7/'دليل المؤشرات'!$F$15,1)))*'دليل المؤشرات'!$E$15,1),0)))</f>
        <v>9.4</v>
      </c>
      <c r="N7" s="58">
        <f>IF($B7="","",IF(H7="","",IFERROR(ROUND(IF('دليل المؤشرات'!$D$16="↓",MIN('دليل المؤشرات'!$F$16/H7,1),IF('دليل المؤشرات'!$D$16="★",H7/10,MIN(H7/'دليل المؤشرات'!$F$16,1)))*'دليل المؤشرات'!$E$16,1),0)))</f>
        <v>6</v>
      </c>
      <c r="O7" s="59">
        <f t="shared" si="0"/>
        <v>57</v>
      </c>
      <c r="P7" s="39" t="str">
        <f t="shared" si="1"/>
        <v>يحتاج تطوير</v>
      </c>
    </row>
    <row r="8" spans="1:16" ht="21" customHeight="1" x14ac:dyDescent="0.45">
      <c r="A8" s="55">
        <v>5</v>
      </c>
      <c r="B8" s="56" t="s">
        <v>155</v>
      </c>
      <c r="C8" s="57">
        <v>102</v>
      </c>
      <c r="D8" s="57">
        <v>29.6</v>
      </c>
      <c r="E8" s="57">
        <v>8.6</v>
      </c>
      <c r="F8" s="57">
        <v>89</v>
      </c>
      <c r="G8" s="57">
        <v>4143</v>
      </c>
      <c r="H8" s="57">
        <v>10</v>
      </c>
      <c r="I8" s="58">
        <f>IF($B8="","",IF(C8="","",IFERROR(ROUND(IF('دليل المؤشرات'!$D$11="↓",MIN('دليل المؤشرات'!$F$11/C8,1),IF('دليل المؤشرات'!$D$11="★",C8/10,MIN(C8/'دليل المؤشرات'!$F$11,1)))*'دليل المؤشرات'!$E$11,1),0)))</f>
        <v>25</v>
      </c>
      <c r="J8" s="58">
        <f>IF($B8="","",IF(D8="","",IFERROR(ROUND(IF('دليل المؤشرات'!$D$12="↓",MIN('دليل المؤشرات'!$F$12/D8,1),IF('دليل المؤشرات'!$D$12="★",D8/10,MIN(D8/'دليل المؤشرات'!$F$12,1)))*'دليل المؤشرات'!$E$12,1),0)))</f>
        <v>20</v>
      </c>
      <c r="K8" s="58">
        <f>IF($B8="","",IF(E8="","",IFERROR(ROUND(IF('دليل المؤشرات'!$D$13="↓",MIN('دليل المؤشرات'!$F$13/E8,1),IF('دليل المؤشرات'!$D$13="★",E8/10,MIN(E8/'دليل المؤشرات'!$F$13,1)))*'دليل المؤشرات'!$E$13,1),0)))</f>
        <v>15</v>
      </c>
      <c r="L8" s="58">
        <f>IF($B8="","",IF(F8="","",IFERROR(ROUND(IF('دليل المؤشرات'!$D$14="↓",MIN('دليل المؤشرات'!$F$14/F8,1),IF('دليل المؤشرات'!$D$14="★",F8/10,MIN(F8/'دليل المؤشرات'!$F$14,1)))*'دليل المؤشرات'!$E$14,1),0)))</f>
        <v>15</v>
      </c>
      <c r="M8" s="58">
        <f>IF($B8="","",IF(G8="","",IFERROR(ROUND(IF('دليل المؤشرات'!$D$15="↓",MIN('دليل المؤشرات'!$F$15/G8,1),IF('دليل المؤشرات'!$D$15="★",G8/10,MIN(G8/'دليل المؤشرات'!$F$15,1)))*'دليل المؤشرات'!$E$15,1),0)))</f>
        <v>14.5</v>
      </c>
      <c r="N8" s="58">
        <f>IF($B8="","",IF(H8="","",IFERROR(ROUND(IF('دليل المؤشرات'!$D$16="↓",MIN('دليل المؤشرات'!$F$16/H8,1),IF('دليل المؤشرات'!$D$16="★",H8/10,MIN(H8/'دليل المؤشرات'!$F$16,1)))*'دليل المؤشرات'!$E$16,1),0)))</f>
        <v>10</v>
      </c>
      <c r="O8" s="59">
        <f t="shared" si="0"/>
        <v>99.5</v>
      </c>
      <c r="P8" s="35" t="str">
        <f t="shared" si="1"/>
        <v>أداء متميز</v>
      </c>
    </row>
    <row r="9" spans="1:16" ht="21" customHeight="1" x14ac:dyDescent="0.45">
      <c r="A9" s="60">
        <v>6</v>
      </c>
      <c r="B9" s="61" t="s">
        <v>156</v>
      </c>
      <c r="C9" s="57">
        <v>76</v>
      </c>
      <c r="D9" s="57">
        <v>39</v>
      </c>
      <c r="E9" s="57">
        <v>6.7</v>
      </c>
      <c r="F9" s="57">
        <v>70</v>
      </c>
      <c r="G9" s="57">
        <v>5137</v>
      </c>
      <c r="H9" s="57">
        <v>8</v>
      </c>
      <c r="I9" s="58">
        <f>IF($B9="","",IF(C9="","",IFERROR(ROUND(IF('دليل المؤشرات'!$D$11="↓",MIN('دليل المؤشرات'!$F$11/C9,1),IF('دليل المؤشرات'!$D$11="★",C9/10,MIN(C9/'دليل المؤشرات'!$F$11,1)))*'دليل المؤشرات'!$E$11,1),0)))</f>
        <v>21.1</v>
      </c>
      <c r="J9" s="58">
        <f>IF($B9="","",IF(D9="","",IFERROR(ROUND(IF('دليل المؤشرات'!$D$12="↓",MIN('دليل المؤشرات'!$F$12/D9,1),IF('دليل المؤشرات'!$D$12="★",D9/10,MIN(D9/'دليل المؤشرات'!$F$12,1)))*'دليل المؤشرات'!$E$12,1),0)))</f>
        <v>15.4</v>
      </c>
      <c r="K9" s="58">
        <f>IF($B9="","",IF(E9="","",IFERROR(ROUND(IF('دليل المؤشرات'!$D$13="↓",MIN('دليل المؤشرات'!$F$13/E9,1),IF('دليل المؤشرات'!$D$13="★",E9/10,MIN(E9/'دليل المؤشرات'!$F$13,1)))*'دليل المؤشرات'!$E$13,1),0)))</f>
        <v>12.6</v>
      </c>
      <c r="L9" s="58">
        <f>IF($B9="","",IF(F9="","",IFERROR(ROUND(IF('دليل المؤشرات'!$D$14="↓",MIN('دليل المؤشرات'!$F$14/F9,1),IF('دليل المؤشرات'!$D$14="★",F9/10,MIN(F9/'دليل المؤشرات'!$F$14,1)))*'دليل المؤشرات'!$E$14,1),0)))</f>
        <v>13.1</v>
      </c>
      <c r="M9" s="58">
        <f>IF($B9="","",IF(G9="","",IFERROR(ROUND(IF('دليل المؤشرات'!$D$15="↓",MIN('دليل المؤشرات'!$F$15/G9,1),IF('دليل المؤشرات'!$D$15="★",G9/10,MIN(G9/'دليل المؤشرات'!$F$15,1)))*'دليل المؤشرات'!$E$15,1),0)))</f>
        <v>11.7</v>
      </c>
      <c r="N9" s="58">
        <f>IF($B9="","",IF(H9="","",IFERROR(ROUND(IF('دليل المؤشرات'!$D$16="↓",MIN('دليل المؤشرات'!$F$16/H9,1),IF('دليل المؤشرات'!$D$16="★",H9/10,MIN(H9/'دليل المؤشرات'!$F$16,1)))*'دليل المؤشرات'!$E$16,1),0)))</f>
        <v>8</v>
      </c>
      <c r="O9" s="59">
        <f t="shared" si="0"/>
        <v>81.900000000000006</v>
      </c>
      <c r="P9" s="39" t="str">
        <f t="shared" si="1"/>
        <v>يفوق التوقعات</v>
      </c>
    </row>
    <row r="10" spans="1:16" ht="21" customHeight="1" x14ac:dyDescent="0.45">
      <c r="A10" s="55">
        <v>7</v>
      </c>
      <c r="B10" s="56" t="s">
        <v>157</v>
      </c>
      <c r="C10" s="57">
        <v>60</v>
      </c>
      <c r="D10" s="57">
        <v>45</v>
      </c>
      <c r="E10" s="57">
        <v>5.4</v>
      </c>
      <c r="F10" s="57">
        <v>62</v>
      </c>
      <c r="G10" s="57">
        <v>5237</v>
      </c>
      <c r="H10" s="57">
        <v>7</v>
      </c>
      <c r="I10" s="58">
        <f>IF($B10="","",IF(C10="","",IFERROR(ROUND(IF('دليل المؤشرات'!$D$11="↓",MIN('دليل المؤشرات'!$F$11/C10,1),IF('دليل المؤشرات'!$D$11="★",C10/10,MIN(C10/'دليل المؤشرات'!$F$11,1)))*'دليل المؤشرات'!$E$11,1),0)))</f>
        <v>16.7</v>
      </c>
      <c r="J10" s="58">
        <f>IF($B10="","",IF(D10="","",IFERROR(ROUND(IF('دليل المؤشرات'!$D$12="↓",MIN('دليل المؤشرات'!$F$12/D10,1),IF('دليل المؤشرات'!$D$12="★",D10/10,MIN(D10/'دليل المؤشرات'!$F$12,1)))*'دليل المؤشرات'!$E$12,1),0)))</f>
        <v>13.3</v>
      </c>
      <c r="K10" s="58">
        <f>IF($B10="","",IF(E10="","",IFERROR(ROUND(IF('دليل المؤشرات'!$D$13="↓",MIN('دليل المؤشرات'!$F$13/E10,1),IF('دليل المؤشرات'!$D$13="★",E10/10,MIN(E10/'دليل المؤشرات'!$F$13,1)))*'دليل المؤشرات'!$E$13,1),0)))</f>
        <v>10.1</v>
      </c>
      <c r="L10" s="58">
        <f>IF($B10="","",IF(F10="","",IFERROR(ROUND(IF('دليل المؤشرات'!$D$14="↓",MIN('دليل المؤشرات'!$F$14/F10,1),IF('دليل المؤشرات'!$D$14="★",F10/10,MIN(F10/'دليل المؤشرات'!$F$14,1)))*'دليل المؤشرات'!$E$14,1),0)))</f>
        <v>11.6</v>
      </c>
      <c r="M10" s="58">
        <f>IF($B10="","",IF(G10="","",IFERROR(ROUND(IF('دليل المؤشرات'!$D$15="↓",MIN('دليل المؤشرات'!$F$15/G10,1),IF('دليل المؤشرات'!$D$15="★",G10/10,MIN(G10/'دليل المؤشرات'!$F$15,1)))*'دليل المؤشرات'!$E$15,1),0)))</f>
        <v>11.5</v>
      </c>
      <c r="N10" s="58">
        <f>IF($B10="","",IF(H10="","",IFERROR(ROUND(IF('دليل المؤشرات'!$D$16="↓",MIN('دليل المؤشرات'!$F$16/H10,1),IF('دليل المؤشرات'!$D$16="★",H10/10,MIN(H10/'دليل المؤشرات'!$F$16,1)))*'دليل المؤشرات'!$E$16,1),0)))</f>
        <v>7</v>
      </c>
      <c r="O10" s="59">
        <f t="shared" si="0"/>
        <v>70.2</v>
      </c>
      <c r="P10" s="35" t="str">
        <f t="shared" si="1"/>
        <v>يلبّي التوقعات</v>
      </c>
    </row>
    <row r="11" spans="1:16" ht="21" customHeight="1" x14ac:dyDescent="0.45">
      <c r="A11" s="60">
        <v>8</v>
      </c>
      <c r="B11" s="61" t="s">
        <v>158</v>
      </c>
      <c r="C11" s="57">
        <v>93</v>
      </c>
      <c r="D11" s="57">
        <v>31.7</v>
      </c>
      <c r="E11" s="57">
        <v>7.4</v>
      </c>
      <c r="F11" s="57">
        <v>89</v>
      </c>
      <c r="G11" s="57">
        <v>3804</v>
      </c>
      <c r="H11" s="57">
        <v>10</v>
      </c>
      <c r="I11" s="58">
        <f>IF($B11="","",IF(C11="","",IFERROR(ROUND(IF('دليل المؤشرات'!$D$11="↓",MIN('دليل المؤشرات'!$F$11/C11,1),IF('دليل المؤشرات'!$D$11="★",C11/10,MIN(C11/'دليل المؤشرات'!$F$11,1)))*'دليل المؤشرات'!$E$11,1),0)))</f>
        <v>25</v>
      </c>
      <c r="J11" s="58">
        <f>IF($B11="","",IF(D11="","",IFERROR(ROUND(IF('دليل المؤشرات'!$D$12="↓",MIN('دليل المؤشرات'!$F$12/D11,1),IF('دليل المؤشرات'!$D$12="★",D11/10,MIN(D11/'دليل المؤشرات'!$F$12,1)))*'دليل المؤشرات'!$E$12,1),0)))</f>
        <v>18.899999999999999</v>
      </c>
      <c r="K11" s="58">
        <f>IF($B11="","",IF(E11="","",IFERROR(ROUND(IF('دليل المؤشرات'!$D$13="↓",MIN('دليل المؤشرات'!$F$13/E11,1),IF('دليل المؤشرات'!$D$13="★",E11/10,MIN(E11/'دليل المؤشرات'!$F$13,1)))*'دليل المؤشرات'!$E$13,1),0)))</f>
        <v>13.9</v>
      </c>
      <c r="L11" s="58">
        <f>IF($B11="","",IF(F11="","",IFERROR(ROUND(IF('دليل المؤشرات'!$D$14="↓",MIN('دليل المؤشرات'!$F$14/F11,1),IF('دليل المؤشرات'!$D$14="★",F11/10,MIN(F11/'دليل المؤشرات'!$F$14,1)))*'دليل المؤشرات'!$E$14,1),0)))</f>
        <v>15</v>
      </c>
      <c r="M11" s="58">
        <f>IF($B11="","",IF(G11="","",IFERROR(ROUND(IF('دليل المؤشرات'!$D$15="↓",MIN('دليل المؤشرات'!$F$15/G11,1),IF('دليل المؤشرات'!$D$15="★",G11/10,MIN(G11/'دليل المؤشرات'!$F$15,1)))*'دليل المؤشرات'!$E$15,1),0)))</f>
        <v>15</v>
      </c>
      <c r="N11" s="58">
        <f>IF($B11="","",IF(H11="","",IFERROR(ROUND(IF('دليل المؤشرات'!$D$16="↓",MIN('دليل المؤشرات'!$F$16/H11,1),IF('دليل المؤشرات'!$D$16="★",H11/10,MIN(H11/'دليل المؤشرات'!$F$16,1)))*'دليل المؤشرات'!$E$16,1),0)))</f>
        <v>10</v>
      </c>
      <c r="O11" s="59">
        <f t="shared" si="0"/>
        <v>97.8</v>
      </c>
      <c r="P11" s="39" t="str">
        <f t="shared" si="1"/>
        <v>أداء متميز</v>
      </c>
    </row>
    <row r="12" spans="1:16" ht="21" customHeight="1" x14ac:dyDescent="0.45">
      <c r="A12" s="55">
        <v>9</v>
      </c>
      <c r="B12" s="56" t="s">
        <v>159</v>
      </c>
      <c r="C12" s="57">
        <v>43</v>
      </c>
      <c r="D12" s="57">
        <v>73.5</v>
      </c>
      <c r="E12" s="57">
        <v>3.7</v>
      </c>
      <c r="F12" s="57">
        <v>32</v>
      </c>
      <c r="G12" s="57">
        <v>9760</v>
      </c>
      <c r="H12" s="57">
        <v>4</v>
      </c>
      <c r="I12" s="58">
        <f>IF($B12="","",IF(C12="","",IFERROR(ROUND(IF('دليل المؤشرات'!$D$11="↓",MIN('دليل المؤشرات'!$F$11/C12,1),IF('دليل المؤشرات'!$D$11="★",C12/10,MIN(C12/'دليل المؤشرات'!$F$11,1)))*'دليل المؤشرات'!$E$11,1),0)))</f>
        <v>11.9</v>
      </c>
      <c r="J12" s="58">
        <f>IF($B12="","",IF(D12="","",IFERROR(ROUND(IF('دليل المؤشرات'!$D$12="↓",MIN('دليل المؤشرات'!$F$12/D12,1),IF('دليل المؤشرات'!$D$12="★",D12/10,MIN(D12/'دليل المؤشرات'!$F$12,1)))*'دليل المؤشرات'!$E$12,1),0)))</f>
        <v>8.1999999999999993</v>
      </c>
      <c r="K12" s="58">
        <f>IF($B12="","",IF(E12="","",IFERROR(ROUND(IF('دليل المؤشرات'!$D$13="↓",MIN('دليل المؤشرات'!$F$13/E12,1),IF('دليل المؤشرات'!$D$13="★",E12/10,MIN(E12/'دليل المؤشرات'!$F$13,1)))*'دليل المؤشرات'!$E$13,1),0)))</f>
        <v>6.9</v>
      </c>
      <c r="L12" s="58">
        <f>IF($B12="","",IF(F12="","",IFERROR(ROUND(IF('دليل المؤشرات'!$D$14="↓",MIN('دليل المؤشرات'!$F$14/F12,1),IF('دليل المؤشرات'!$D$14="★",F12/10,MIN(F12/'دليل المؤشرات'!$F$14,1)))*'دليل المؤشرات'!$E$14,1),0)))</f>
        <v>6</v>
      </c>
      <c r="M12" s="58">
        <f>IF($B12="","",IF(G12="","",IFERROR(ROUND(IF('دليل المؤشرات'!$D$15="↓",MIN('دليل المؤشرات'!$F$15/G12,1),IF('دليل المؤشرات'!$D$15="★",G12/10,MIN(G12/'دليل المؤشرات'!$F$15,1)))*'دليل المؤشرات'!$E$15,1),0)))</f>
        <v>6.1</v>
      </c>
      <c r="N12" s="58">
        <f>IF($B12="","",IF(H12="","",IFERROR(ROUND(IF('دليل المؤشرات'!$D$16="↓",MIN('دليل المؤشرات'!$F$16/H12,1),IF('دليل المؤشرات'!$D$16="★",H12/10,MIN(H12/'دليل المؤشرات'!$F$16,1)))*'دليل المؤشرات'!$E$16,1),0)))</f>
        <v>4</v>
      </c>
      <c r="O12" s="59">
        <f t="shared" si="0"/>
        <v>43.1</v>
      </c>
      <c r="P12" s="35" t="str">
        <f t="shared" si="1"/>
        <v>غير مُرضٍ</v>
      </c>
    </row>
    <row r="13" spans="1:16" ht="21" customHeight="1" x14ac:dyDescent="0.45">
      <c r="A13" s="60">
        <v>10</v>
      </c>
      <c r="B13" s="61" t="s">
        <v>160</v>
      </c>
      <c r="C13" s="57">
        <v>80</v>
      </c>
      <c r="D13" s="57">
        <v>39.5</v>
      </c>
      <c r="E13" s="57">
        <v>7</v>
      </c>
      <c r="F13" s="57">
        <v>72</v>
      </c>
      <c r="G13" s="57">
        <v>4657</v>
      </c>
      <c r="H13" s="57">
        <v>9</v>
      </c>
      <c r="I13" s="58">
        <f>IF($B13="","",IF(C13="","",IFERROR(ROUND(IF('دليل المؤشرات'!$D$11="↓",MIN('دليل المؤشرات'!$F$11/C13,1),IF('دليل المؤشرات'!$D$11="★",C13/10,MIN(C13/'دليل المؤشرات'!$F$11,1)))*'دليل المؤشرات'!$E$11,1),0)))</f>
        <v>22.2</v>
      </c>
      <c r="J13" s="58">
        <f>IF($B13="","",IF(D13="","",IFERROR(ROUND(IF('دليل المؤشرات'!$D$12="↓",MIN('دليل المؤشرات'!$F$12/D13,1),IF('دليل المؤشرات'!$D$12="★",D13/10,MIN(D13/'دليل المؤشرات'!$F$12,1)))*'دليل المؤشرات'!$E$12,1),0)))</f>
        <v>15.2</v>
      </c>
      <c r="K13" s="58">
        <f>IF($B13="","",IF(E13="","",IFERROR(ROUND(IF('دليل المؤشرات'!$D$13="↓",MIN('دليل المؤشرات'!$F$13/E13,1),IF('دليل المؤشرات'!$D$13="★",E13/10,MIN(E13/'دليل المؤشرات'!$F$13,1)))*'دليل المؤشرات'!$E$13,1),0)))</f>
        <v>13.1</v>
      </c>
      <c r="L13" s="58">
        <f>IF($B13="","",IF(F13="","",IFERROR(ROUND(IF('دليل المؤشرات'!$D$14="↓",MIN('دليل المؤشرات'!$F$14/F13,1),IF('دليل المؤشرات'!$D$14="★",F13/10,MIN(F13/'دليل المؤشرات'!$F$14,1)))*'دليل المؤشرات'!$E$14,1),0)))</f>
        <v>13.5</v>
      </c>
      <c r="M13" s="58">
        <f>IF($B13="","",IF(G13="","",IFERROR(ROUND(IF('دليل المؤشرات'!$D$15="↓",MIN('دليل المؤشرات'!$F$15/G13,1),IF('دليل المؤشرات'!$D$15="★",G13/10,MIN(G13/'دليل المؤشرات'!$F$15,1)))*'دليل المؤشرات'!$E$15,1),0)))</f>
        <v>12.9</v>
      </c>
      <c r="N13" s="58">
        <f>IF($B13="","",IF(H13="","",IFERROR(ROUND(IF('دليل المؤشرات'!$D$16="↓",MIN('دليل المؤشرات'!$F$16/H13,1),IF('دليل المؤشرات'!$D$16="★",H13/10,MIN(H13/'دليل المؤشرات'!$F$16,1)))*'دليل المؤشرات'!$E$16,1),0)))</f>
        <v>9</v>
      </c>
      <c r="O13" s="59">
        <f t="shared" si="0"/>
        <v>85.9</v>
      </c>
      <c r="P13" s="39" t="str">
        <f t="shared" si="1"/>
        <v>يفوق التوقعات</v>
      </c>
    </row>
    <row r="14" spans="1:16" ht="21" customHeight="1" x14ac:dyDescent="0.45">
      <c r="A14" s="55">
        <v>11</v>
      </c>
      <c r="B14" s="56" t="s">
        <v>161</v>
      </c>
      <c r="C14" s="57">
        <v>65</v>
      </c>
      <c r="D14" s="57">
        <v>40.799999999999997</v>
      </c>
      <c r="E14" s="57">
        <v>5.0999999999999996</v>
      </c>
      <c r="F14" s="57">
        <v>51</v>
      </c>
      <c r="G14" s="57">
        <v>5846</v>
      </c>
      <c r="H14" s="57">
        <v>7</v>
      </c>
      <c r="I14" s="58">
        <f>IF($B14="","",IF(C14="","",IFERROR(ROUND(IF('دليل المؤشرات'!$D$11="↓",MIN('دليل المؤشرات'!$F$11/C14,1),IF('دليل المؤشرات'!$D$11="★",C14/10,MIN(C14/'دليل المؤشرات'!$F$11,1)))*'دليل المؤشرات'!$E$11,1),0)))</f>
        <v>18.100000000000001</v>
      </c>
      <c r="J14" s="58">
        <f>IF($B14="","",IF(D14="","",IFERROR(ROUND(IF('دليل المؤشرات'!$D$12="↓",MIN('دليل المؤشرات'!$F$12/D14,1),IF('دليل المؤشرات'!$D$12="★",D14/10,MIN(D14/'دليل المؤشرات'!$F$12,1)))*'دليل المؤشرات'!$E$12,1),0)))</f>
        <v>14.7</v>
      </c>
      <c r="K14" s="58">
        <f>IF($B14="","",IF(E14="","",IFERROR(ROUND(IF('دليل المؤشرات'!$D$13="↓",MIN('دليل المؤشرات'!$F$13/E14,1),IF('دليل المؤشرات'!$D$13="★",E14/10,MIN(E14/'دليل المؤشرات'!$F$13,1)))*'دليل المؤشرات'!$E$13,1),0)))</f>
        <v>9.6</v>
      </c>
      <c r="L14" s="58">
        <f>IF($B14="","",IF(F14="","",IFERROR(ROUND(IF('دليل المؤشرات'!$D$14="↓",MIN('دليل المؤشرات'!$F$14/F14,1),IF('دليل المؤشرات'!$D$14="★",F14/10,MIN(F14/'دليل المؤشرات'!$F$14,1)))*'دليل المؤشرات'!$E$14,1),0)))</f>
        <v>9.6</v>
      </c>
      <c r="M14" s="58">
        <f>IF($B14="","",IF(G14="","",IFERROR(ROUND(IF('دليل المؤشرات'!$D$15="↓",MIN('دليل المؤشرات'!$F$15/G14,1),IF('دليل المؤشرات'!$D$15="★",G14/10,MIN(G14/'دليل المؤشرات'!$F$15,1)))*'دليل المؤشرات'!$E$15,1),0)))</f>
        <v>10.3</v>
      </c>
      <c r="N14" s="58">
        <f>IF($B14="","",IF(H14="","",IFERROR(ROUND(IF('دليل المؤشرات'!$D$16="↓",MIN('دليل المؤشرات'!$F$16/H14,1),IF('دليل المؤشرات'!$D$16="★",H14/10,MIN(H14/'دليل المؤشرات'!$F$16,1)))*'دليل المؤشرات'!$E$16,1),0)))</f>
        <v>7</v>
      </c>
      <c r="O14" s="59">
        <f t="shared" si="0"/>
        <v>69.3</v>
      </c>
      <c r="P14" s="35" t="str">
        <f t="shared" si="1"/>
        <v>يلبّي التوقعات</v>
      </c>
    </row>
    <row r="15" spans="1:16" ht="21" customHeight="1" x14ac:dyDescent="0.45">
      <c r="A15" s="60">
        <v>12</v>
      </c>
      <c r="B15" s="61" t="s">
        <v>162</v>
      </c>
      <c r="C15" s="57">
        <v>71</v>
      </c>
      <c r="D15" s="57">
        <v>34.299999999999997</v>
      </c>
      <c r="E15" s="57">
        <v>6.3</v>
      </c>
      <c r="F15" s="57">
        <v>62</v>
      </c>
      <c r="G15" s="57">
        <v>4513</v>
      </c>
      <c r="H15" s="57">
        <v>9</v>
      </c>
      <c r="I15" s="58">
        <f>IF($B15="","",IF(C15="","",IFERROR(ROUND(IF('دليل المؤشرات'!$D$11="↓",MIN('دليل المؤشرات'!$F$11/C15,1),IF('دليل المؤشرات'!$D$11="★",C15/10,MIN(C15/'دليل المؤشرات'!$F$11,1)))*'دليل المؤشرات'!$E$11,1),0)))</f>
        <v>19.7</v>
      </c>
      <c r="J15" s="58">
        <f>IF($B15="","",IF(D15="","",IFERROR(ROUND(IF('دليل المؤشرات'!$D$12="↓",MIN('دليل المؤشرات'!$F$12/D15,1),IF('دليل المؤشرات'!$D$12="★",D15/10,MIN(D15/'دليل المؤشرات'!$F$12,1)))*'دليل المؤشرات'!$E$12,1),0)))</f>
        <v>17.5</v>
      </c>
      <c r="K15" s="58">
        <f>IF($B15="","",IF(E15="","",IFERROR(ROUND(IF('دليل المؤشرات'!$D$13="↓",MIN('دليل المؤشرات'!$F$13/E15,1),IF('دليل المؤشرات'!$D$13="★",E15/10,MIN(E15/'دليل المؤشرات'!$F$13,1)))*'دليل المؤشرات'!$E$13,1),0)))</f>
        <v>11.8</v>
      </c>
      <c r="L15" s="58">
        <f>IF($B15="","",IF(F15="","",IFERROR(ROUND(IF('دليل المؤشرات'!$D$14="↓",MIN('دليل المؤشرات'!$F$14/F15,1),IF('دليل المؤشرات'!$D$14="★",F15/10,MIN(F15/'دليل المؤشرات'!$F$14,1)))*'دليل المؤشرات'!$E$14,1),0)))</f>
        <v>11.6</v>
      </c>
      <c r="M15" s="58">
        <f>IF($B15="","",IF(G15="","",IFERROR(ROUND(IF('دليل المؤشرات'!$D$15="↓",MIN('دليل المؤشرات'!$F$15/G15,1),IF('دليل المؤشرات'!$D$15="★",G15/10,MIN(G15/'دليل المؤشرات'!$F$15,1)))*'دليل المؤشرات'!$E$15,1),0)))</f>
        <v>13.3</v>
      </c>
      <c r="N15" s="58">
        <f>IF($B15="","",IF(H15="","",IFERROR(ROUND(IF('دليل المؤشرات'!$D$16="↓",MIN('دليل المؤشرات'!$F$16/H15,1),IF('دليل المؤشرات'!$D$16="★",H15/10,MIN(H15/'دليل المؤشرات'!$F$16,1)))*'دليل المؤشرات'!$E$16,1),0)))</f>
        <v>9</v>
      </c>
      <c r="O15" s="59">
        <f t="shared" si="0"/>
        <v>82.9</v>
      </c>
      <c r="P15" s="39" t="str">
        <f t="shared" si="1"/>
        <v>يفوق التوقعات</v>
      </c>
    </row>
    <row r="16" spans="1:16" ht="21" customHeight="1" x14ac:dyDescent="0.45">
      <c r="A16" s="55">
        <v>13</v>
      </c>
      <c r="B16" s="56" t="s">
        <v>163</v>
      </c>
      <c r="C16" s="57">
        <v>59</v>
      </c>
      <c r="D16" s="57">
        <v>53.9</v>
      </c>
      <c r="E16" s="57">
        <v>4.5999999999999996</v>
      </c>
      <c r="F16" s="57">
        <v>44</v>
      </c>
      <c r="G16" s="57">
        <v>7124</v>
      </c>
      <c r="H16" s="57">
        <v>6</v>
      </c>
      <c r="I16" s="58">
        <f>IF($B16="","",IF(C16="","",IFERROR(ROUND(IF('دليل المؤشرات'!$D$11="↓",MIN('دليل المؤشرات'!$F$11/C16,1),IF('دليل المؤشرات'!$D$11="★",C16/10,MIN(C16/'دليل المؤشرات'!$F$11,1)))*'دليل المؤشرات'!$E$11,1),0)))</f>
        <v>16.399999999999999</v>
      </c>
      <c r="J16" s="58">
        <f>IF($B16="","",IF(D16="","",IFERROR(ROUND(IF('دليل المؤشرات'!$D$12="↓",MIN('دليل المؤشرات'!$F$12/D16,1),IF('دليل المؤشرات'!$D$12="★",D16/10,MIN(D16/'دليل المؤشرات'!$F$12,1)))*'دليل المؤشرات'!$E$12,1),0)))</f>
        <v>11.1</v>
      </c>
      <c r="K16" s="58">
        <f>IF($B16="","",IF(E16="","",IFERROR(ROUND(IF('دليل المؤشرات'!$D$13="↓",MIN('دليل المؤشرات'!$F$13/E16,1),IF('دليل المؤشرات'!$D$13="★",E16/10,MIN(E16/'دليل المؤشرات'!$F$13,1)))*'دليل المؤشرات'!$E$13,1),0)))</f>
        <v>8.6</v>
      </c>
      <c r="L16" s="58">
        <f>IF($B16="","",IF(F16="","",IFERROR(ROUND(IF('دليل المؤشرات'!$D$14="↓",MIN('دليل المؤشرات'!$F$14/F16,1),IF('دليل المؤشرات'!$D$14="★",F16/10,MIN(F16/'دليل المؤشرات'!$F$14,1)))*'دليل المؤشرات'!$E$14,1),0)))</f>
        <v>8.3000000000000007</v>
      </c>
      <c r="M16" s="58">
        <f>IF($B16="","",IF(G16="","",IFERROR(ROUND(IF('دليل المؤشرات'!$D$15="↓",MIN('دليل المؤشرات'!$F$15/G16,1),IF('دليل المؤشرات'!$D$15="★",G16/10,MIN(G16/'دليل المؤشرات'!$F$15,1)))*'دليل المؤشرات'!$E$15,1),0)))</f>
        <v>8.4</v>
      </c>
      <c r="N16" s="58">
        <f>IF($B16="","",IF(H16="","",IFERROR(ROUND(IF('دليل المؤشرات'!$D$16="↓",MIN('دليل المؤشرات'!$F$16/H16,1),IF('دليل المؤشرات'!$D$16="★",H16/10,MIN(H16/'دليل المؤشرات'!$F$16,1)))*'دليل المؤشرات'!$E$16,1),0)))</f>
        <v>6</v>
      </c>
      <c r="O16" s="59">
        <f t="shared" si="0"/>
        <v>58.8</v>
      </c>
      <c r="P16" s="35" t="str">
        <f t="shared" si="1"/>
        <v>يحتاج تطوير</v>
      </c>
    </row>
    <row r="17" spans="1:16" ht="21" customHeight="1" x14ac:dyDescent="0.45">
      <c r="A17" s="60">
        <v>14</v>
      </c>
      <c r="B17" s="61" t="s">
        <v>164</v>
      </c>
      <c r="C17" s="57">
        <v>91</v>
      </c>
      <c r="D17" s="57">
        <v>26.2</v>
      </c>
      <c r="E17" s="57">
        <v>8.5</v>
      </c>
      <c r="F17" s="57">
        <v>79</v>
      </c>
      <c r="G17" s="57">
        <v>4006</v>
      </c>
      <c r="H17" s="57">
        <v>10</v>
      </c>
      <c r="I17" s="58">
        <f>IF($B17="","",IF(C17="","",IFERROR(ROUND(IF('دليل المؤشرات'!$D$11="↓",MIN('دليل المؤشرات'!$F$11/C17,1),IF('دليل المؤشرات'!$D$11="★",C17/10,MIN(C17/'دليل المؤشرات'!$F$11,1)))*'دليل المؤشرات'!$E$11,1),0)))</f>
        <v>25</v>
      </c>
      <c r="J17" s="58">
        <f>IF($B17="","",IF(D17="","",IFERROR(ROUND(IF('دليل المؤشرات'!$D$12="↓",MIN('دليل المؤشرات'!$F$12/D17,1),IF('دليل المؤشرات'!$D$12="★",D17/10,MIN(D17/'دليل المؤشرات'!$F$12,1)))*'دليل المؤشرات'!$E$12,1),0)))</f>
        <v>20</v>
      </c>
      <c r="K17" s="58">
        <f>IF($B17="","",IF(E17="","",IFERROR(ROUND(IF('دليل المؤشرات'!$D$13="↓",MIN('دليل المؤشرات'!$F$13/E17,1),IF('دليل المؤشرات'!$D$13="★",E17/10,MIN(E17/'دليل المؤشرات'!$F$13,1)))*'دليل المؤشرات'!$E$13,1),0)))</f>
        <v>15</v>
      </c>
      <c r="L17" s="58">
        <f>IF($B17="","",IF(F17="","",IFERROR(ROUND(IF('دليل المؤشرات'!$D$14="↓",MIN('دليل المؤشرات'!$F$14/F17,1),IF('دليل المؤشرات'!$D$14="★",F17/10,MIN(F17/'دليل المؤشرات'!$F$14,1)))*'دليل المؤشرات'!$E$14,1),0)))</f>
        <v>14.8</v>
      </c>
      <c r="M17" s="58">
        <f>IF($B17="","",IF(G17="","",IFERROR(ROUND(IF('دليل المؤشرات'!$D$15="↓",MIN('دليل المؤشرات'!$F$15/G17,1),IF('دليل المؤشرات'!$D$15="★",G17/10,MIN(G17/'دليل المؤشرات'!$F$15,1)))*'دليل المؤشرات'!$E$15,1),0)))</f>
        <v>15</v>
      </c>
      <c r="N17" s="58">
        <f>IF($B17="","",IF(H17="","",IFERROR(ROUND(IF('دليل المؤشرات'!$D$16="↓",MIN('دليل المؤشرات'!$F$16/H17,1),IF('دليل المؤشرات'!$D$16="★",H17/10,MIN(H17/'دليل المؤشرات'!$F$16,1)))*'دليل المؤشرات'!$E$16,1),0)))</f>
        <v>10</v>
      </c>
      <c r="O17" s="59">
        <f t="shared" si="0"/>
        <v>99.8</v>
      </c>
      <c r="P17" s="39" t="str">
        <f t="shared" si="1"/>
        <v>أداء متميز</v>
      </c>
    </row>
    <row r="18" spans="1:16" ht="21" customHeight="1" x14ac:dyDescent="0.45">
      <c r="A18" s="55">
        <v>15</v>
      </c>
      <c r="B18" s="56" t="s">
        <v>165</v>
      </c>
      <c r="C18" s="57">
        <v>86</v>
      </c>
      <c r="D18" s="57">
        <v>32.9</v>
      </c>
      <c r="E18" s="57">
        <v>7.5</v>
      </c>
      <c r="F18" s="57">
        <v>76</v>
      </c>
      <c r="G18" s="57">
        <v>4790</v>
      </c>
      <c r="H18" s="57">
        <v>9</v>
      </c>
      <c r="I18" s="58">
        <f>IF($B18="","",IF(C18="","",IFERROR(ROUND(IF('دليل المؤشرات'!$D$11="↓",MIN('دليل المؤشرات'!$F$11/C18,1),IF('دليل المؤشرات'!$D$11="★",C18/10,MIN(C18/'دليل المؤشرات'!$F$11,1)))*'دليل المؤشرات'!$E$11,1),0)))</f>
        <v>23.9</v>
      </c>
      <c r="J18" s="58">
        <f>IF($B18="","",IF(D18="","",IFERROR(ROUND(IF('دليل المؤشرات'!$D$12="↓",MIN('دليل المؤشرات'!$F$12/D18,1),IF('دليل المؤشرات'!$D$12="★",D18/10,MIN(D18/'دليل المؤشرات'!$F$12,1)))*'دليل المؤشرات'!$E$12,1),0)))</f>
        <v>18.2</v>
      </c>
      <c r="K18" s="58">
        <f>IF($B18="","",IF(E18="","",IFERROR(ROUND(IF('دليل المؤشرات'!$D$13="↓",MIN('دليل المؤشرات'!$F$13/E18,1),IF('دليل المؤشرات'!$D$13="★",E18/10,MIN(E18/'دليل المؤشرات'!$F$13,1)))*'دليل المؤشرات'!$E$13,1),0)))</f>
        <v>14.1</v>
      </c>
      <c r="L18" s="58">
        <f>IF($B18="","",IF(F18="","",IFERROR(ROUND(IF('دليل المؤشرات'!$D$14="↓",MIN('دليل المؤشرات'!$F$14/F18,1),IF('دليل المؤشرات'!$D$14="★",F18/10,MIN(F18/'دليل المؤشرات'!$F$14,1)))*'دليل المؤشرات'!$E$14,1),0)))</f>
        <v>14.3</v>
      </c>
      <c r="M18" s="58">
        <f>IF($B18="","",IF(G18="","",IFERROR(ROUND(IF('دليل المؤشرات'!$D$15="↓",MIN('دليل المؤشرات'!$F$15/G18,1),IF('دليل المؤشرات'!$D$15="★",G18/10,MIN(G18/'دليل المؤشرات'!$F$15,1)))*'دليل المؤشرات'!$E$15,1),0)))</f>
        <v>12.5</v>
      </c>
      <c r="N18" s="58">
        <f>IF($B18="","",IF(H18="","",IFERROR(ROUND(IF('دليل المؤشرات'!$D$16="↓",MIN('دليل المؤشرات'!$F$16/H18,1),IF('دليل المؤشرات'!$D$16="★",H18/10,MIN(H18/'دليل المؤشرات'!$F$16,1)))*'دليل المؤشرات'!$E$16,1),0)))</f>
        <v>9</v>
      </c>
      <c r="O18" s="59">
        <f t="shared" si="0"/>
        <v>92</v>
      </c>
      <c r="P18" s="35" t="str">
        <f t="shared" si="1"/>
        <v>أداء متميز</v>
      </c>
    </row>
    <row r="19" spans="1:16" ht="21" customHeight="1" x14ac:dyDescent="0.45">
      <c r="A19" s="60">
        <v>16</v>
      </c>
      <c r="B19" s="61" t="s">
        <v>166</v>
      </c>
      <c r="C19" s="57">
        <v>93</v>
      </c>
      <c r="D19" s="57">
        <v>31.4</v>
      </c>
      <c r="E19" s="57">
        <v>7.9</v>
      </c>
      <c r="F19" s="57">
        <v>76</v>
      </c>
      <c r="G19" s="57">
        <v>3702</v>
      </c>
      <c r="H19" s="57">
        <v>10</v>
      </c>
      <c r="I19" s="58">
        <f>IF($B19="","",IF(C19="","",IFERROR(ROUND(IF('دليل المؤشرات'!$D$11="↓",MIN('دليل المؤشرات'!$F$11/C19,1),IF('دليل المؤشرات'!$D$11="★",C19/10,MIN(C19/'دليل المؤشرات'!$F$11,1)))*'دليل المؤشرات'!$E$11,1),0)))</f>
        <v>25</v>
      </c>
      <c r="J19" s="58">
        <f>IF($B19="","",IF(D19="","",IFERROR(ROUND(IF('دليل المؤشرات'!$D$12="↓",MIN('دليل المؤشرات'!$F$12/D19,1),IF('دليل المؤشرات'!$D$12="★",D19/10,MIN(D19/'دليل المؤشرات'!$F$12,1)))*'دليل المؤشرات'!$E$12,1),0)))</f>
        <v>19.100000000000001</v>
      </c>
      <c r="K19" s="58">
        <f>IF($B19="","",IF(E19="","",IFERROR(ROUND(IF('دليل المؤشرات'!$D$13="↓",MIN('دليل المؤشرات'!$F$13/E19,1),IF('دليل المؤشرات'!$D$13="★",E19/10,MIN(E19/'دليل المؤشرات'!$F$13,1)))*'دليل المؤشرات'!$E$13,1),0)))</f>
        <v>14.8</v>
      </c>
      <c r="L19" s="58">
        <f>IF($B19="","",IF(F19="","",IFERROR(ROUND(IF('دليل المؤشرات'!$D$14="↓",MIN('دليل المؤشرات'!$F$14/F19,1),IF('دليل المؤشرات'!$D$14="★",F19/10,MIN(F19/'دليل المؤشرات'!$F$14,1)))*'دليل المؤشرات'!$E$14,1),0)))</f>
        <v>14.3</v>
      </c>
      <c r="M19" s="58">
        <f>IF($B19="","",IF(G19="","",IFERROR(ROUND(IF('دليل المؤشرات'!$D$15="↓",MIN('دليل المؤشرات'!$F$15/G19,1),IF('دليل المؤشرات'!$D$15="★",G19/10,MIN(G19/'دليل المؤشرات'!$F$15,1)))*'دليل المؤشرات'!$E$15,1),0)))</f>
        <v>15</v>
      </c>
      <c r="N19" s="58">
        <f>IF($B19="","",IF(H19="","",IFERROR(ROUND(IF('دليل المؤشرات'!$D$16="↓",MIN('دليل المؤشرات'!$F$16/H19,1),IF('دليل المؤشرات'!$D$16="★",H19/10,MIN(H19/'دليل المؤشرات'!$F$16,1)))*'دليل المؤشرات'!$E$16,1),0)))</f>
        <v>10</v>
      </c>
      <c r="O19" s="59">
        <f t="shared" si="0"/>
        <v>98.2</v>
      </c>
      <c r="P19" s="39" t="str">
        <f t="shared" si="1"/>
        <v>أداء متميز</v>
      </c>
    </row>
    <row r="20" spans="1:16" ht="21" customHeight="1" x14ac:dyDescent="0.45">
      <c r="A20" s="55">
        <v>17</v>
      </c>
      <c r="B20" s="56" t="s">
        <v>167</v>
      </c>
      <c r="C20" s="57">
        <v>60</v>
      </c>
      <c r="D20" s="57">
        <v>38.9</v>
      </c>
      <c r="E20" s="57">
        <v>6.3</v>
      </c>
      <c r="F20" s="57">
        <v>54</v>
      </c>
      <c r="G20" s="57">
        <v>5120</v>
      </c>
      <c r="H20" s="57">
        <v>7</v>
      </c>
      <c r="I20" s="58">
        <f>IF($B20="","",IF(C20="","",IFERROR(ROUND(IF('دليل المؤشرات'!$D$11="↓",MIN('دليل المؤشرات'!$F$11/C20,1),IF('دليل المؤشرات'!$D$11="★",C20/10,MIN(C20/'دليل المؤشرات'!$F$11,1)))*'دليل المؤشرات'!$E$11,1),0)))</f>
        <v>16.7</v>
      </c>
      <c r="J20" s="58">
        <f>IF($B20="","",IF(D20="","",IFERROR(ROUND(IF('دليل المؤشرات'!$D$12="↓",MIN('دليل المؤشرات'!$F$12/D20,1),IF('دليل المؤشرات'!$D$12="★",D20/10,MIN(D20/'دليل المؤشرات'!$F$12,1)))*'دليل المؤشرات'!$E$12,1),0)))</f>
        <v>15.4</v>
      </c>
      <c r="K20" s="58">
        <f>IF($B20="","",IF(E20="","",IFERROR(ROUND(IF('دليل المؤشرات'!$D$13="↓",MIN('دليل المؤشرات'!$F$13/E20,1),IF('دليل المؤشرات'!$D$13="★",E20/10,MIN(E20/'دليل المؤشرات'!$F$13,1)))*'دليل المؤشرات'!$E$13,1),0)))</f>
        <v>11.8</v>
      </c>
      <c r="L20" s="58">
        <f>IF($B20="","",IF(F20="","",IFERROR(ROUND(IF('دليل المؤشرات'!$D$14="↓",MIN('دليل المؤشرات'!$F$14/F20,1),IF('دليل المؤشرات'!$D$14="★",F20/10,MIN(F20/'دليل المؤشرات'!$F$14,1)))*'دليل المؤشرات'!$E$14,1),0)))</f>
        <v>10.1</v>
      </c>
      <c r="M20" s="58">
        <f>IF($B20="","",IF(G20="","",IFERROR(ROUND(IF('دليل المؤشرات'!$D$15="↓",MIN('دليل المؤشرات'!$F$15/G20,1),IF('دليل المؤشرات'!$D$15="★",G20/10,MIN(G20/'دليل المؤشرات'!$F$15,1)))*'دليل المؤشرات'!$E$15,1),0)))</f>
        <v>11.7</v>
      </c>
      <c r="N20" s="58">
        <f>IF($B20="","",IF(H20="","",IFERROR(ROUND(IF('دليل المؤشرات'!$D$16="↓",MIN('دليل المؤشرات'!$F$16/H20,1),IF('دليل المؤشرات'!$D$16="★",H20/10,MIN(H20/'دليل المؤشرات'!$F$16,1)))*'دليل المؤشرات'!$E$16,1),0)))</f>
        <v>7</v>
      </c>
      <c r="O20" s="59">
        <f t="shared" si="0"/>
        <v>72.7</v>
      </c>
      <c r="P20" s="35" t="str">
        <f t="shared" si="1"/>
        <v>يلبّي التوقعات</v>
      </c>
    </row>
    <row r="21" spans="1:16" ht="21" customHeight="1" x14ac:dyDescent="0.45">
      <c r="A21" s="60">
        <v>18</v>
      </c>
      <c r="B21" s="61" t="s">
        <v>168</v>
      </c>
      <c r="C21" s="57">
        <v>37</v>
      </c>
      <c r="D21" s="57">
        <v>68.3</v>
      </c>
      <c r="E21" s="57">
        <v>3.1</v>
      </c>
      <c r="F21" s="57">
        <v>31</v>
      </c>
      <c r="G21" s="57">
        <v>10295</v>
      </c>
      <c r="H21" s="57">
        <v>4</v>
      </c>
      <c r="I21" s="58">
        <f>IF($B21="","",IF(C21="","",IFERROR(ROUND(IF('دليل المؤشرات'!$D$11="↓",MIN('دليل المؤشرات'!$F$11/C21,1),IF('دليل المؤشرات'!$D$11="★",C21/10,MIN(C21/'دليل المؤشرات'!$F$11,1)))*'دليل المؤشرات'!$E$11,1),0)))</f>
        <v>10.3</v>
      </c>
      <c r="J21" s="58">
        <f>IF($B21="","",IF(D21="","",IFERROR(ROUND(IF('دليل المؤشرات'!$D$12="↓",MIN('دليل المؤشرات'!$F$12/D21,1),IF('دليل المؤشرات'!$D$12="★",D21/10,MIN(D21/'دليل المؤشرات'!$F$12,1)))*'دليل المؤشرات'!$E$12,1),0)))</f>
        <v>8.8000000000000007</v>
      </c>
      <c r="K21" s="58">
        <f>IF($B21="","",IF(E21="","",IFERROR(ROUND(IF('دليل المؤشرات'!$D$13="↓",MIN('دليل المؤشرات'!$F$13/E21,1),IF('دليل المؤشرات'!$D$13="★",E21/10,MIN(E21/'دليل المؤشرات'!$F$13,1)))*'دليل المؤشرات'!$E$13,1),0)))</f>
        <v>5.8</v>
      </c>
      <c r="L21" s="58">
        <f>IF($B21="","",IF(F21="","",IFERROR(ROUND(IF('دليل المؤشرات'!$D$14="↓",MIN('دليل المؤشرات'!$F$14/F21,1),IF('دليل المؤشرات'!$D$14="★",F21/10,MIN(F21/'دليل المؤشرات'!$F$14,1)))*'دليل المؤشرات'!$E$14,1),0)))</f>
        <v>5.8</v>
      </c>
      <c r="M21" s="58">
        <f>IF($B21="","",IF(G21="","",IFERROR(ROUND(IF('دليل المؤشرات'!$D$15="↓",MIN('دليل المؤشرات'!$F$15/G21,1),IF('دليل المؤشرات'!$D$15="★",G21/10,MIN(G21/'دليل المؤشرات'!$F$15,1)))*'دليل المؤشرات'!$E$15,1),0)))</f>
        <v>5.8</v>
      </c>
      <c r="N21" s="58">
        <f>IF($B21="","",IF(H21="","",IFERROR(ROUND(IF('دليل المؤشرات'!$D$16="↓",MIN('دليل المؤشرات'!$F$16/H21,1),IF('دليل المؤشرات'!$D$16="★",H21/10,MIN(H21/'دليل المؤشرات'!$F$16,1)))*'دليل المؤشرات'!$E$16,1),0)))</f>
        <v>4</v>
      </c>
      <c r="O21" s="59">
        <f t="shared" si="0"/>
        <v>40.5</v>
      </c>
      <c r="P21" s="39" t="str">
        <f t="shared" si="1"/>
        <v>غير مُرضٍ</v>
      </c>
    </row>
    <row r="22" spans="1:16" ht="21" customHeight="1" x14ac:dyDescent="0.45">
      <c r="A22" s="55">
        <v>19</v>
      </c>
      <c r="B22" s="56"/>
      <c r="C22" s="57"/>
      <c r="D22" s="57"/>
      <c r="E22" s="57"/>
      <c r="F22" s="57"/>
      <c r="G22" s="57"/>
      <c r="H22" s="57"/>
      <c r="I22" s="58" t="str">
        <f>IF($B22="","",IF(C22="","",IFERROR(ROUND(IF('دليل المؤشرات'!$D$11="↓",MIN('دليل المؤشرات'!$F$11/C22,1),IF('دليل المؤشرات'!$D$11="★",C22/10,MIN(C22/'دليل المؤشرات'!$F$11,1)))*'دليل المؤشرات'!$E$11,1),0)))</f>
        <v/>
      </c>
      <c r="J22" s="58" t="str">
        <f>IF($B22="","",IF(D22="","",IFERROR(ROUND(IF('دليل المؤشرات'!$D$12="↓",MIN('دليل المؤشرات'!$F$12/D22,1),IF('دليل المؤشرات'!$D$12="★",D22/10,MIN(D22/'دليل المؤشرات'!$F$12,1)))*'دليل المؤشرات'!$E$12,1),0)))</f>
        <v/>
      </c>
      <c r="K22" s="58" t="str">
        <f>IF($B22="","",IF(E22="","",IFERROR(ROUND(IF('دليل المؤشرات'!$D$13="↓",MIN('دليل المؤشرات'!$F$13/E22,1),IF('دليل المؤشرات'!$D$13="★",E22/10,MIN(E22/'دليل المؤشرات'!$F$13,1)))*'دليل المؤشرات'!$E$13,1),0)))</f>
        <v/>
      </c>
      <c r="L22" s="58" t="str">
        <f>IF($B22="","",IF(F22="","",IFERROR(ROUND(IF('دليل المؤشرات'!$D$14="↓",MIN('دليل المؤشرات'!$F$14/F22,1),IF('دليل المؤشرات'!$D$14="★",F22/10,MIN(F22/'دليل المؤشرات'!$F$14,1)))*'دليل المؤشرات'!$E$14,1),0)))</f>
        <v/>
      </c>
      <c r="M22" s="58" t="str">
        <f>IF($B22="","",IF(G22="","",IFERROR(ROUND(IF('دليل المؤشرات'!$D$15="↓",MIN('دليل المؤشرات'!$F$15/G22,1),IF('دليل المؤشرات'!$D$15="★",G22/10,MIN(G22/'دليل المؤشرات'!$F$15,1)))*'دليل المؤشرات'!$E$15,1),0)))</f>
        <v/>
      </c>
      <c r="N22" s="58" t="str">
        <f>IF($B22="","",IF(H22="","",IFERROR(ROUND(IF('دليل المؤشرات'!$D$16="↓",MIN('دليل المؤشرات'!$F$16/H22,1),IF('دليل المؤشرات'!$D$16="★",H22/10,MIN(H22/'دليل المؤشرات'!$F$16,1)))*'دليل المؤشرات'!$E$16,1),0)))</f>
        <v/>
      </c>
      <c r="O22" s="59" t="str">
        <f t="shared" si="0"/>
        <v/>
      </c>
      <c r="P22" s="35" t="str">
        <f t="shared" si="1"/>
        <v/>
      </c>
    </row>
    <row r="23" spans="1:16" ht="21" customHeight="1" x14ac:dyDescent="0.45">
      <c r="A23" s="60">
        <v>20</v>
      </c>
      <c r="B23" s="61"/>
      <c r="C23" s="57"/>
      <c r="D23" s="57"/>
      <c r="E23" s="57"/>
      <c r="F23" s="57"/>
      <c r="G23" s="57"/>
      <c r="H23" s="57"/>
      <c r="I23" s="58" t="str">
        <f>IF($B23="","",IF(C23="","",IFERROR(ROUND(IF('دليل المؤشرات'!$D$11="↓",MIN('دليل المؤشرات'!$F$11/C23,1),IF('دليل المؤشرات'!$D$11="★",C23/10,MIN(C23/'دليل المؤشرات'!$F$11,1)))*'دليل المؤشرات'!$E$11,1),0)))</f>
        <v/>
      </c>
      <c r="J23" s="58" t="str">
        <f>IF($B23="","",IF(D23="","",IFERROR(ROUND(IF('دليل المؤشرات'!$D$12="↓",MIN('دليل المؤشرات'!$F$12/D23,1),IF('دليل المؤشرات'!$D$12="★",D23/10,MIN(D23/'دليل المؤشرات'!$F$12,1)))*'دليل المؤشرات'!$E$12,1),0)))</f>
        <v/>
      </c>
      <c r="K23" s="58" t="str">
        <f>IF($B23="","",IF(E23="","",IFERROR(ROUND(IF('دليل المؤشرات'!$D$13="↓",MIN('دليل المؤشرات'!$F$13/E23,1),IF('دليل المؤشرات'!$D$13="★",E23/10,MIN(E23/'دليل المؤشرات'!$F$13,1)))*'دليل المؤشرات'!$E$13,1),0)))</f>
        <v/>
      </c>
      <c r="L23" s="58" t="str">
        <f>IF($B23="","",IF(F23="","",IFERROR(ROUND(IF('دليل المؤشرات'!$D$14="↓",MIN('دليل المؤشرات'!$F$14/F23,1),IF('دليل المؤشرات'!$D$14="★",F23/10,MIN(F23/'دليل المؤشرات'!$F$14,1)))*'دليل المؤشرات'!$E$14,1),0)))</f>
        <v/>
      </c>
      <c r="M23" s="58" t="str">
        <f>IF($B23="","",IF(G23="","",IFERROR(ROUND(IF('دليل المؤشرات'!$D$15="↓",MIN('دليل المؤشرات'!$F$15/G23,1),IF('دليل المؤشرات'!$D$15="★",G23/10,MIN(G23/'دليل المؤشرات'!$F$15,1)))*'دليل المؤشرات'!$E$15,1),0)))</f>
        <v/>
      </c>
      <c r="N23" s="58" t="str">
        <f>IF($B23="","",IF(H23="","",IFERROR(ROUND(IF('دليل المؤشرات'!$D$16="↓",MIN('دليل المؤشرات'!$F$16/H23,1),IF('دليل المؤشرات'!$D$16="★",H23/10,MIN(H23/'دليل المؤشرات'!$F$16,1)))*'دليل المؤشرات'!$E$16,1),0)))</f>
        <v/>
      </c>
      <c r="O23" s="59" t="str">
        <f t="shared" si="0"/>
        <v/>
      </c>
      <c r="P23" s="39" t="str">
        <f t="shared" si="1"/>
        <v/>
      </c>
    </row>
    <row r="24" spans="1:16" ht="21" customHeight="1" x14ac:dyDescent="0.45">
      <c r="A24" s="55">
        <v>21</v>
      </c>
      <c r="B24" s="56"/>
      <c r="C24" s="57"/>
      <c r="D24" s="57"/>
      <c r="E24" s="57"/>
      <c r="F24" s="57"/>
      <c r="G24" s="57"/>
      <c r="H24" s="57"/>
      <c r="I24" s="58" t="str">
        <f>IF($B24="","",IF(C24="","",IFERROR(ROUND(IF('دليل المؤشرات'!$D$11="↓",MIN('دليل المؤشرات'!$F$11/C24,1),IF('دليل المؤشرات'!$D$11="★",C24/10,MIN(C24/'دليل المؤشرات'!$F$11,1)))*'دليل المؤشرات'!$E$11,1),0)))</f>
        <v/>
      </c>
      <c r="J24" s="58" t="str">
        <f>IF($B24="","",IF(D24="","",IFERROR(ROUND(IF('دليل المؤشرات'!$D$12="↓",MIN('دليل المؤشرات'!$F$12/D24,1),IF('دليل المؤشرات'!$D$12="★",D24/10,MIN(D24/'دليل المؤشرات'!$F$12,1)))*'دليل المؤشرات'!$E$12,1),0)))</f>
        <v/>
      </c>
      <c r="K24" s="58" t="str">
        <f>IF($B24="","",IF(E24="","",IFERROR(ROUND(IF('دليل المؤشرات'!$D$13="↓",MIN('دليل المؤشرات'!$F$13/E24,1),IF('دليل المؤشرات'!$D$13="★",E24/10,MIN(E24/'دليل المؤشرات'!$F$13,1)))*'دليل المؤشرات'!$E$13,1),0)))</f>
        <v/>
      </c>
      <c r="L24" s="58" t="str">
        <f>IF($B24="","",IF(F24="","",IFERROR(ROUND(IF('دليل المؤشرات'!$D$14="↓",MIN('دليل المؤشرات'!$F$14/F24,1),IF('دليل المؤشرات'!$D$14="★",F24/10,MIN(F24/'دليل المؤشرات'!$F$14,1)))*'دليل المؤشرات'!$E$14,1),0)))</f>
        <v/>
      </c>
      <c r="M24" s="58" t="str">
        <f>IF($B24="","",IF(G24="","",IFERROR(ROUND(IF('دليل المؤشرات'!$D$15="↓",MIN('دليل المؤشرات'!$F$15/G24,1),IF('دليل المؤشرات'!$D$15="★",G24/10,MIN(G24/'دليل المؤشرات'!$F$15,1)))*'دليل المؤشرات'!$E$15,1),0)))</f>
        <v/>
      </c>
      <c r="N24" s="58" t="str">
        <f>IF($B24="","",IF(H24="","",IFERROR(ROUND(IF('دليل المؤشرات'!$D$16="↓",MIN('دليل المؤشرات'!$F$16/H24,1),IF('دليل المؤشرات'!$D$16="★",H24/10,MIN(H24/'دليل المؤشرات'!$F$16,1)))*'دليل المؤشرات'!$E$16,1),0)))</f>
        <v/>
      </c>
      <c r="O24" s="59" t="str">
        <f t="shared" si="0"/>
        <v/>
      </c>
      <c r="P24" s="35" t="str">
        <f t="shared" si="1"/>
        <v/>
      </c>
    </row>
    <row r="25" spans="1:16" ht="21" customHeight="1" x14ac:dyDescent="0.45">
      <c r="A25" s="60">
        <v>22</v>
      </c>
      <c r="B25" s="61"/>
      <c r="C25" s="57"/>
      <c r="D25" s="57"/>
      <c r="E25" s="57"/>
      <c r="F25" s="57"/>
      <c r="G25" s="57"/>
      <c r="H25" s="57"/>
      <c r="I25" s="58" t="str">
        <f>IF($B25="","",IF(C25="","",IFERROR(ROUND(IF('دليل المؤشرات'!$D$11="↓",MIN('دليل المؤشرات'!$F$11/C25,1),IF('دليل المؤشرات'!$D$11="★",C25/10,MIN(C25/'دليل المؤشرات'!$F$11,1)))*'دليل المؤشرات'!$E$11,1),0)))</f>
        <v/>
      </c>
      <c r="J25" s="58" t="str">
        <f>IF($B25="","",IF(D25="","",IFERROR(ROUND(IF('دليل المؤشرات'!$D$12="↓",MIN('دليل المؤشرات'!$F$12/D25,1),IF('دليل المؤشرات'!$D$12="★",D25/10,MIN(D25/'دليل المؤشرات'!$F$12,1)))*'دليل المؤشرات'!$E$12,1),0)))</f>
        <v/>
      </c>
      <c r="K25" s="58" t="str">
        <f>IF($B25="","",IF(E25="","",IFERROR(ROUND(IF('دليل المؤشرات'!$D$13="↓",MIN('دليل المؤشرات'!$F$13/E25,1),IF('دليل المؤشرات'!$D$13="★",E25/10,MIN(E25/'دليل المؤشرات'!$F$13,1)))*'دليل المؤشرات'!$E$13,1),0)))</f>
        <v/>
      </c>
      <c r="L25" s="58" t="str">
        <f>IF($B25="","",IF(F25="","",IFERROR(ROUND(IF('دليل المؤشرات'!$D$14="↓",MIN('دليل المؤشرات'!$F$14/F25,1),IF('دليل المؤشرات'!$D$14="★",F25/10,MIN(F25/'دليل المؤشرات'!$F$14,1)))*'دليل المؤشرات'!$E$14,1),0)))</f>
        <v/>
      </c>
      <c r="M25" s="58" t="str">
        <f>IF($B25="","",IF(G25="","",IFERROR(ROUND(IF('دليل المؤشرات'!$D$15="↓",MIN('دليل المؤشرات'!$F$15/G25,1),IF('دليل المؤشرات'!$D$15="★",G25/10,MIN(G25/'دليل المؤشرات'!$F$15,1)))*'دليل المؤشرات'!$E$15,1),0)))</f>
        <v/>
      </c>
      <c r="N25" s="58" t="str">
        <f>IF($B25="","",IF(H25="","",IFERROR(ROUND(IF('دليل المؤشرات'!$D$16="↓",MIN('دليل المؤشرات'!$F$16/H25,1),IF('دليل المؤشرات'!$D$16="★",H25/10,MIN(H25/'دليل المؤشرات'!$F$16,1)))*'دليل المؤشرات'!$E$16,1),0)))</f>
        <v/>
      </c>
      <c r="O25" s="59" t="str">
        <f t="shared" si="0"/>
        <v/>
      </c>
      <c r="P25" s="39" t="str">
        <f t="shared" si="1"/>
        <v/>
      </c>
    </row>
    <row r="26" spans="1:16" ht="21" customHeight="1" x14ac:dyDescent="0.45">
      <c r="A26" s="55">
        <v>23</v>
      </c>
      <c r="B26" s="56"/>
      <c r="C26" s="57"/>
      <c r="D26" s="57"/>
      <c r="E26" s="57"/>
      <c r="F26" s="57"/>
      <c r="G26" s="57"/>
      <c r="H26" s="57"/>
      <c r="I26" s="58" t="str">
        <f>IF($B26="","",IF(C26="","",IFERROR(ROUND(IF('دليل المؤشرات'!$D$11="↓",MIN('دليل المؤشرات'!$F$11/C26,1),IF('دليل المؤشرات'!$D$11="★",C26/10,MIN(C26/'دليل المؤشرات'!$F$11,1)))*'دليل المؤشرات'!$E$11,1),0)))</f>
        <v/>
      </c>
      <c r="J26" s="58" t="str">
        <f>IF($B26="","",IF(D26="","",IFERROR(ROUND(IF('دليل المؤشرات'!$D$12="↓",MIN('دليل المؤشرات'!$F$12/D26,1),IF('دليل المؤشرات'!$D$12="★",D26/10,MIN(D26/'دليل المؤشرات'!$F$12,1)))*'دليل المؤشرات'!$E$12,1),0)))</f>
        <v/>
      </c>
      <c r="K26" s="58" t="str">
        <f>IF($B26="","",IF(E26="","",IFERROR(ROUND(IF('دليل المؤشرات'!$D$13="↓",MIN('دليل المؤشرات'!$F$13/E26,1),IF('دليل المؤشرات'!$D$13="★",E26/10,MIN(E26/'دليل المؤشرات'!$F$13,1)))*'دليل المؤشرات'!$E$13,1),0)))</f>
        <v/>
      </c>
      <c r="L26" s="58" t="str">
        <f>IF($B26="","",IF(F26="","",IFERROR(ROUND(IF('دليل المؤشرات'!$D$14="↓",MIN('دليل المؤشرات'!$F$14/F26,1),IF('دليل المؤشرات'!$D$14="★",F26/10,MIN(F26/'دليل المؤشرات'!$F$14,1)))*'دليل المؤشرات'!$E$14,1),0)))</f>
        <v/>
      </c>
      <c r="M26" s="58" t="str">
        <f>IF($B26="","",IF(G26="","",IFERROR(ROUND(IF('دليل المؤشرات'!$D$15="↓",MIN('دليل المؤشرات'!$F$15/G26,1),IF('دليل المؤشرات'!$D$15="★",G26/10,MIN(G26/'دليل المؤشرات'!$F$15,1)))*'دليل المؤشرات'!$E$15,1),0)))</f>
        <v/>
      </c>
      <c r="N26" s="58" t="str">
        <f>IF($B26="","",IF(H26="","",IFERROR(ROUND(IF('دليل المؤشرات'!$D$16="↓",MIN('دليل المؤشرات'!$F$16/H26,1),IF('دليل المؤشرات'!$D$16="★",H26/10,MIN(H26/'دليل المؤشرات'!$F$16,1)))*'دليل المؤشرات'!$E$16,1),0)))</f>
        <v/>
      </c>
      <c r="O26" s="59" t="str">
        <f t="shared" si="0"/>
        <v/>
      </c>
      <c r="P26" s="35" t="str">
        <f t="shared" si="1"/>
        <v/>
      </c>
    </row>
    <row r="27" spans="1:16" ht="21" customHeight="1" x14ac:dyDescent="0.45">
      <c r="A27" s="60">
        <v>24</v>
      </c>
      <c r="B27" s="61"/>
      <c r="C27" s="57"/>
      <c r="D27" s="57"/>
      <c r="E27" s="57"/>
      <c r="F27" s="57"/>
      <c r="G27" s="57"/>
      <c r="H27" s="57"/>
      <c r="I27" s="58" t="str">
        <f>IF($B27="","",IF(C27="","",IFERROR(ROUND(IF('دليل المؤشرات'!$D$11="↓",MIN('دليل المؤشرات'!$F$11/C27,1),IF('دليل المؤشرات'!$D$11="★",C27/10,MIN(C27/'دليل المؤشرات'!$F$11,1)))*'دليل المؤشرات'!$E$11,1),0)))</f>
        <v/>
      </c>
      <c r="J27" s="58" t="str">
        <f>IF($B27="","",IF(D27="","",IFERROR(ROUND(IF('دليل المؤشرات'!$D$12="↓",MIN('دليل المؤشرات'!$F$12/D27,1),IF('دليل المؤشرات'!$D$12="★",D27/10,MIN(D27/'دليل المؤشرات'!$F$12,1)))*'دليل المؤشرات'!$E$12,1),0)))</f>
        <v/>
      </c>
      <c r="K27" s="58" t="str">
        <f>IF($B27="","",IF(E27="","",IFERROR(ROUND(IF('دليل المؤشرات'!$D$13="↓",MIN('دليل المؤشرات'!$F$13/E27,1),IF('دليل المؤشرات'!$D$13="★",E27/10,MIN(E27/'دليل المؤشرات'!$F$13,1)))*'دليل المؤشرات'!$E$13,1),0)))</f>
        <v/>
      </c>
      <c r="L27" s="58" t="str">
        <f>IF($B27="","",IF(F27="","",IFERROR(ROUND(IF('دليل المؤشرات'!$D$14="↓",MIN('دليل المؤشرات'!$F$14/F27,1),IF('دليل المؤشرات'!$D$14="★",F27/10,MIN(F27/'دليل المؤشرات'!$F$14,1)))*'دليل المؤشرات'!$E$14,1),0)))</f>
        <v/>
      </c>
      <c r="M27" s="58" t="str">
        <f>IF($B27="","",IF(G27="","",IFERROR(ROUND(IF('دليل المؤشرات'!$D$15="↓",MIN('دليل المؤشرات'!$F$15/G27,1),IF('دليل المؤشرات'!$D$15="★",G27/10,MIN(G27/'دليل المؤشرات'!$F$15,1)))*'دليل المؤشرات'!$E$15,1),0)))</f>
        <v/>
      </c>
      <c r="N27" s="58" t="str">
        <f>IF($B27="","",IF(H27="","",IFERROR(ROUND(IF('دليل المؤشرات'!$D$16="↓",MIN('دليل المؤشرات'!$F$16/H27,1),IF('دليل المؤشرات'!$D$16="★",H27/10,MIN(H27/'دليل المؤشرات'!$F$16,1)))*'دليل المؤشرات'!$E$16,1),0)))</f>
        <v/>
      </c>
      <c r="O27" s="59" t="str">
        <f t="shared" si="0"/>
        <v/>
      </c>
      <c r="P27" s="39" t="str">
        <f t="shared" si="1"/>
        <v/>
      </c>
    </row>
    <row r="28" spans="1:16" ht="21" customHeight="1" x14ac:dyDescent="0.45">
      <c r="A28" s="55">
        <v>25</v>
      </c>
      <c r="B28" s="56"/>
      <c r="C28" s="57"/>
      <c r="D28" s="57"/>
      <c r="E28" s="57"/>
      <c r="F28" s="57"/>
      <c r="G28" s="57"/>
      <c r="H28" s="57"/>
      <c r="I28" s="58" t="str">
        <f>IF($B28="","",IF(C28="","",IFERROR(ROUND(IF('دليل المؤشرات'!$D$11="↓",MIN('دليل المؤشرات'!$F$11/C28,1),IF('دليل المؤشرات'!$D$11="★",C28/10,MIN(C28/'دليل المؤشرات'!$F$11,1)))*'دليل المؤشرات'!$E$11,1),0)))</f>
        <v/>
      </c>
      <c r="J28" s="58" t="str">
        <f>IF($B28="","",IF(D28="","",IFERROR(ROUND(IF('دليل المؤشرات'!$D$12="↓",MIN('دليل المؤشرات'!$F$12/D28,1),IF('دليل المؤشرات'!$D$12="★",D28/10,MIN(D28/'دليل المؤشرات'!$F$12,1)))*'دليل المؤشرات'!$E$12,1),0)))</f>
        <v/>
      </c>
      <c r="K28" s="58" t="str">
        <f>IF($B28="","",IF(E28="","",IFERROR(ROUND(IF('دليل المؤشرات'!$D$13="↓",MIN('دليل المؤشرات'!$F$13/E28,1),IF('دليل المؤشرات'!$D$13="★",E28/10,MIN(E28/'دليل المؤشرات'!$F$13,1)))*'دليل المؤشرات'!$E$13,1),0)))</f>
        <v/>
      </c>
      <c r="L28" s="58" t="str">
        <f>IF($B28="","",IF(F28="","",IFERROR(ROUND(IF('دليل المؤشرات'!$D$14="↓",MIN('دليل المؤشرات'!$F$14/F28,1),IF('دليل المؤشرات'!$D$14="★",F28/10,MIN(F28/'دليل المؤشرات'!$F$14,1)))*'دليل المؤشرات'!$E$14,1),0)))</f>
        <v/>
      </c>
      <c r="M28" s="58" t="str">
        <f>IF($B28="","",IF(G28="","",IFERROR(ROUND(IF('دليل المؤشرات'!$D$15="↓",MIN('دليل المؤشرات'!$F$15/G28,1),IF('دليل المؤشرات'!$D$15="★",G28/10,MIN(G28/'دليل المؤشرات'!$F$15,1)))*'دليل المؤشرات'!$E$15,1),0)))</f>
        <v/>
      </c>
      <c r="N28" s="58" t="str">
        <f>IF($B28="","",IF(H28="","",IFERROR(ROUND(IF('دليل المؤشرات'!$D$16="↓",MIN('دليل المؤشرات'!$F$16/H28,1),IF('دليل المؤشرات'!$D$16="★",H28/10,MIN(H28/'دليل المؤشرات'!$F$16,1)))*'دليل المؤشرات'!$E$16,1),0)))</f>
        <v/>
      </c>
      <c r="O28" s="59" t="str">
        <f t="shared" si="0"/>
        <v/>
      </c>
      <c r="P28" s="35" t="str">
        <f t="shared" si="1"/>
        <v/>
      </c>
    </row>
    <row r="30" spans="1:16" ht="15" x14ac:dyDescent="0.45">
      <c r="B30" s="89" t="s">
        <v>149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62">
        <f>IFERROR(ROUND(AVERAGE(O4:O28),1),0)</f>
        <v>75.2</v>
      </c>
      <c r="P30" s="27" t="str">
        <f>COUNTA(B4:B28)&amp;" موظف"</f>
        <v>18 موظف</v>
      </c>
    </row>
  </sheetData>
  <mergeCells count="2">
    <mergeCell ref="A1:P1"/>
    <mergeCell ref="B30:N30"/>
  </mergeCells>
  <conditionalFormatting sqref="O4:O28">
    <cfRule type="colorScale" priority="2">
      <colorScale>
        <cfvo type="num" val="40"/>
        <cfvo type="num" val="70"/>
        <cfvo type="num" val="95"/>
        <color rgb="FFF2A9A2"/>
        <color rgb="FFFBE3A6"/>
        <color rgb="FFA6D2B4"/>
      </colorScale>
    </cfRule>
  </conditionalFormatting>
  <dataValidations count="1">
    <dataValidation type="whole" allowBlank="1" sqref="H4:H28" xr:uid="{00000000-0002-0000-0400-000000000000}">
      <formula1>1</formula1>
      <formula2>10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30"/>
  <sheetViews>
    <sheetView showGridLines="0"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P1"/>
    </sheetView>
  </sheetViews>
  <sheetFormatPr defaultColWidth="8.6640625" defaultRowHeight="14.25" x14ac:dyDescent="0.45"/>
  <cols>
    <col min="1" max="1" width="3.46484375" customWidth="1"/>
    <col min="2" max="2" width="22" customWidth="1"/>
    <col min="3" max="8" width="13" customWidth="1"/>
    <col min="9" max="14" width="6.53125" customWidth="1"/>
    <col min="15" max="15" width="11" customWidth="1"/>
    <col min="16" max="16" width="15" customWidth="1"/>
  </cols>
  <sheetData>
    <row r="1" spans="1:16" ht="33.75" customHeight="1" x14ac:dyDescent="0.45">
      <c r="A1" s="86" t="s">
        <v>169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42" customHeight="1" x14ac:dyDescent="0.45">
      <c r="A2" s="48" t="s">
        <v>121</v>
      </c>
      <c r="B2" s="34" t="s">
        <v>122</v>
      </c>
      <c r="C2" s="49" t="s">
        <v>94</v>
      </c>
      <c r="D2" s="49" t="s">
        <v>95</v>
      </c>
      <c r="E2" s="49" t="s">
        <v>96</v>
      </c>
      <c r="F2" s="49" t="s">
        <v>97</v>
      </c>
      <c r="G2" s="49" t="s">
        <v>98</v>
      </c>
      <c r="H2" s="49" t="s">
        <v>99</v>
      </c>
      <c r="I2" s="50" t="s">
        <v>123</v>
      </c>
      <c r="J2" s="50" t="s">
        <v>124</v>
      </c>
      <c r="K2" s="50" t="s">
        <v>125</v>
      </c>
      <c r="L2" s="50" t="s">
        <v>126</v>
      </c>
      <c r="M2" s="50" t="s">
        <v>127</v>
      </c>
      <c r="N2" s="50" t="s">
        <v>128</v>
      </c>
      <c r="O2" s="51" t="s">
        <v>21</v>
      </c>
      <c r="P2" s="51" t="s">
        <v>12</v>
      </c>
    </row>
    <row r="3" spans="1:16" ht="18" customHeight="1" x14ac:dyDescent="0.45">
      <c r="A3" s="47"/>
      <c r="B3" s="52" t="s">
        <v>129</v>
      </c>
      <c r="C3" s="53">
        <f>'دليل المؤشرات'!F18</f>
        <v>15</v>
      </c>
      <c r="D3" s="53">
        <f>'دليل المؤشرات'!F19</f>
        <v>85</v>
      </c>
      <c r="E3" s="53">
        <f>'دليل المؤشرات'!F20</f>
        <v>90</v>
      </c>
      <c r="F3" s="53">
        <f>'دليل المؤشرات'!F21</f>
        <v>4.5</v>
      </c>
      <c r="G3" s="53">
        <f>'دليل المؤشرات'!F22</f>
        <v>120</v>
      </c>
      <c r="H3" s="53">
        <f>'دليل المؤشرات'!F23</f>
        <v>90</v>
      </c>
      <c r="I3" s="54">
        <f>'دليل المؤشرات'!E18</f>
        <v>25</v>
      </c>
      <c r="J3" s="54">
        <f>'دليل المؤشرات'!E19</f>
        <v>20</v>
      </c>
      <c r="K3" s="54">
        <f>'دليل المؤشرات'!E20</f>
        <v>15</v>
      </c>
      <c r="L3" s="54">
        <f>'دليل المؤشرات'!E21</f>
        <v>15</v>
      </c>
      <c r="M3" s="54">
        <f>'دليل المؤشرات'!E22</f>
        <v>15</v>
      </c>
      <c r="N3" s="54">
        <f>'دليل المؤشرات'!E23</f>
        <v>10</v>
      </c>
      <c r="O3" s="30" t="s">
        <v>130</v>
      </c>
      <c r="P3" s="47"/>
    </row>
    <row r="4" spans="1:16" ht="21" customHeight="1" x14ac:dyDescent="0.45">
      <c r="A4" s="55">
        <v>1</v>
      </c>
      <c r="B4" s="56" t="s">
        <v>170</v>
      </c>
      <c r="C4" s="57">
        <v>10.5</v>
      </c>
      <c r="D4" s="57">
        <v>62</v>
      </c>
      <c r="E4" s="57">
        <v>74</v>
      </c>
      <c r="F4" s="57">
        <v>3.2</v>
      </c>
      <c r="G4" s="57">
        <v>96</v>
      </c>
      <c r="H4" s="57">
        <v>73</v>
      </c>
      <c r="I4" s="58">
        <f>IF($B4="","",IF(C4="","",IFERROR(ROUND(IF('دليل المؤشرات'!$D$18="↓",MIN('دليل المؤشرات'!$F$18/C4,1),IF('دليل المؤشرات'!$D$18="★",C4/10,MIN(C4/'دليل المؤشرات'!$F$18,1)))*'دليل المؤشرات'!$E$18,1),0)))</f>
        <v>17.5</v>
      </c>
      <c r="J4" s="58">
        <f>IF($B4="","",IF(D4="","",IFERROR(ROUND(IF('دليل المؤشرات'!$D$19="↓",MIN('دليل المؤشرات'!$F$19/D4,1),IF('دليل المؤشرات'!$D$19="★",D4/10,MIN(D4/'دليل المؤشرات'!$F$19,1)))*'دليل المؤشرات'!$E$19,1),0)))</f>
        <v>14.6</v>
      </c>
      <c r="K4" s="58">
        <f>IF($B4="","",IF(E4="","",IFERROR(ROUND(IF('دليل المؤشرات'!$D$20="↓",MIN('دليل المؤشرات'!$F$20/E4,1),IF('دليل المؤشرات'!$D$20="★",E4/10,MIN(E4/'دليل المؤشرات'!$F$20,1)))*'دليل المؤشرات'!$E$20,1),0)))</f>
        <v>12.3</v>
      </c>
      <c r="L4" s="58">
        <f>IF($B4="","",IF(F4="","",IFERROR(ROUND(IF('دليل المؤشرات'!$D$21="↓",MIN('دليل المؤشرات'!$F$21/F4,1),IF('دليل المؤشرات'!$D$21="★",F4/10,MIN(F4/'دليل المؤشرات'!$F$21,1)))*'دليل المؤشرات'!$E$21,1),0)))</f>
        <v>10.7</v>
      </c>
      <c r="M4" s="58">
        <f>IF($B4="","",IF(G4="","",IFERROR(ROUND(IF('دليل المؤشرات'!$D$22="↓",MIN('دليل المؤشرات'!$F$22/G4,1),IF('دليل المؤشرات'!$D$22="★",G4/10,MIN(G4/'دليل المؤشرات'!$F$22,1)))*'دليل المؤشرات'!$E$22,1),0)))</f>
        <v>12</v>
      </c>
      <c r="N4" s="58">
        <f>IF($B4="","",IF(H4="","",IFERROR(ROUND(IF('دليل المؤشرات'!$D$23="↓",MIN('دليل المؤشرات'!$F$23/H4,1),IF('دليل المؤشرات'!$D$23="★",H4/10,MIN(H4/'دليل المؤشرات'!$F$23,1)))*'دليل المؤشرات'!$E$23,1),0)))</f>
        <v>8.1</v>
      </c>
      <c r="O4" s="59">
        <f t="shared" ref="O4:O28" si="0">IF(B4="","",ROUND(SUM(I4:N4),1))</f>
        <v>75.2</v>
      </c>
      <c r="P4" s="35" t="str">
        <f t="shared" ref="P4:P28" si="1">IF(O4="","",IF(O4&gt;=90,"أداء متميز",IF(O4&gt;=75,"يفوق التوقعات",IF(O4&gt;=60,"يلبّي التوقعات",IF(O4&gt;=45,"يحتاج تطوير","غير مُرضٍ")))))</f>
        <v>يفوق التوقعات</v>
      </c>
    </row>
    <row r="5" spans="1:16" ht="21" customHeight="1" x14ac:dyDescent="0.45">
      <c r="A5" s="60">
        <v>2</v>
      </c>
      <c r="B5" s="61" t="s">
        <v>171</v>
      </c>
      <c r="C5" s="57">
        <v>11.4</v>
      </c>
      <c r="D5" s="57">
        <v>75</v>
      </c>
      <c r="E5" s="57">
        <v>74</v>
      </c>
      <c r="F5" s="57">
        <v>3.8</v>
      </c>
      <c r="G5" s="57">
        <v>90</v>
      </c>
      <c r="H5" s="57">
        <v>67</v>
      </c>
      <c r="I5" s="58">
        <f>IF($B5="","",IF(C5="","",IFERROR(ROUND(IF('دليل المؤشرات'!$D$18="↓",MIN('دليل المؤشرات'!$F$18/C5,1),IF('دليل المؤشرات'!$D$18="★",C5/10,MIN(C5/'دليل المؤشرات'!$F$18,1)))*'دليل المؤشرات'!$E$18,1),0)))</f>
        <v>19</v>
      </c>
      <c r="J5" s="58">
        <f>IF($B5="","",IF(D5="","",IFERROR(ROUND(IF('دليل المؤشرات'!$D$19="↓",MIN('دليل المؤشرات'!$F$19/D5,1),IF('دليل المؤشرات'!$D$19="★",D5/10,MIN(D5/'دليل المؤشرات'!$F$19,1)))*'دليل المؤشرات'!$E$19,1),0)))</f>
        <v>17.600000000000001</v>
      </c>
      <c r="K5" s="58">
        <f>IF($B5="","",IF(E5="","",IFERROR(ROUND(IF('دليل المؤشرات'!$D$20="↓",MIN('دليل المؤشرات'!$F$20/E5,1),IF('دليل المؤشرات'!$D$20="★",E5/10,MIN(E5/'دليل المؤشرات'!$F$20,1)))*'دليل المؤشرات'!$E$20,1),0)))</f>
        <v>12.3</v>
      </c>
      <c r="L5" s="58">
        <f>IF($B5="","",IF(F5="","",IFERROR(ROUND(IF('دليل المؤشرات'!$D$21="↓",MIN('دليل المؤشرات'!$F$21/F5,1),IF('دليل المؤشرات'!$D$21="★",F5/10,MIN(F5/'دليل المؤشرات'!$F$21,1)))*'دليل المؤشرات'!$E$21,1),0)))</f>
        <v>12.7</v>
      </c>
      <c r="M5" s="58">
        <f>IF($B5="","",IF(G5="","",IFERROR(ROUND(IF('دليل المؤشرات'!$D$22="↓",MIN('دليل المؤشرات'!$F$22/G5,1),IF('دليل المؤشرات'!$D$22="★",G5/10,MIN(G5/'دليل المؤشرات'!$F$22,1)))*'دليل المؤشرات'!$E$22,1),0)))</f>
        <v>11.3</v>
      </c>
      <c r="N5" s="58">
        <f>IF($B5="","",IF(H5="","",IFERROR(ROUND(IF('دليل المؤشرات'!$D$23="↓",MIN('دليل المؤشرات'!$F$23/H5,1),IF('دليل المؤشرات'!$D$23="★",H5/10,MIN(H5/'دليل المؤشرات'!$F$23,1)))*'دليل المؤشرات'!$E$23,1),0)))</f>
        <v>7.4</v>
      </c>
      <c r="O5" s="59">
        <f t="shared" si="0"/>
        <v>80.3</v>
      </c>
      <c r="P5" s="39" t="str">
        <f t="shared" si="1"/>
        <v>يفوق التوقعات</v>
      </c>
    </row>
    <row r="6" spans="1:16" ht="21" customHeight="1" x14ac:dyDescent="0.45">
      <c r="A6" s="55">
        <v>3</v>
      </c>
      <c r="B6" s="56" t="s">
        <v>172</v>
      </c>
      <c r="C6" s="57">
        <v>12.4</v>
      </c>
      <c r="D6" s="57">
        <v>66</v>
      </c>
      <c r="E6" s="57">
        <v>72</v>
      </c>
      <c r="F6" s="57">
        <v>3.1</v>
      </c>
      <c r="G6" s="57">
        <v>97</v>
      </c>
      <c r="H6" s="57">
        <v>62</v>
      </c>
      <c r="I6" s="58">
        <f>IF($B6="","",IF(C6="","",IFERROR(ROUND(IF('دليل المؤشرات'!$D$18="↓",MIN('دليل المؤشرات'!$F$18/C6,1),IF('دليل المؤشرات'!$D$18="★",C6/10,MIN(C6/'دليل المؤشرات'!$F$18,1)))*'دليل المؤشرات'!$E$18,1),0)))</f>
        <v>20.7</v>
      </c>
      <c r="J6" s="58">
        <f>IF($B6="","",IF(D6="","",IFERROR(ROUND(IF('دليل المؤشرات'!$D$19="↓",MIN('دليل المؤشرات'!$F$19/D6,1),IF('دليل المؤشرات'!$D$19="★",D6/10,MIN(D6/'دليل المؤشرات'!$F$19,1)))*'دليل المؤشرات'!$E$19,1),0)))</f>
        <v>15.5</v>
      </c>
      <c r="K6" s="58">
        <f>IF($B6="","",IF(E6="","",IFERROR(ROUND(IF('دليل المؤشرات'!$D$20="↓",MIN('دليل المؤشرات'!$F$20/E6,1),IF('دليل المؤشرات'!$D$20="★",E6/10,MIN(E6/'دليل المؤشرات'!$F$20,1)))*'دليل المؤشرات'!$E$20,1),0)))</f>
        <v>12</v>
      </c>
      <c r="L6" s="58">
        <f>IF($B6="","",IF(F6="","",IFERROR(ROUND(IF('دليل المؤشرات'!$D$21="↓",MIN('دليل المؤشرات'!$F$21/F6,1),IF('دليل المؤشرات'!$D$21="★",F6/10,MIN(F6/'دليل المؤشرات'!$F$21,1)))*'دليل المؤشرات'!$E$21,1),0)))</f>
        <v>10.3</v>
      </c>
      <c r="M6" s="58">
        <f>IF($B6="","",IF(G6="","",IFERROR(ROUND(IF('دليل المؤشرات'!$D$22="↓",MIN('دليل المؤشرات'!$F$22/G6,1),IF('دليل المؤشرات'!$D$22="★",G6/10,MIN(G6/'دليل المؤشرات'!$F$22,1)))*'دليل المؤشرات'!$E$22,1),0)))</f>
        <v>12.1</v>
      </c>
      <c r="N6" s="58">
        <f>IF($B6="","",IF(H6="","",IFERROR(ROUND(IF('دليل المؤشرات'!$D$23="↓",MIN('دليل المؤشرات'!$F$23/H6,1),IF('دليل المؤشرات'!$D$23="★",H6/10,MIN(H6/'دليل المؤشرات'!$F$23,1)))*'دليل المؤشرات'!$E$23,1),0)))</f>
        <v>6.9</v>
      </c>
      <c r="O6" s="59">
        <f t="shared" si="0"/>
        <v>77.5</v>
      </c>
      <c r="P6" s="35" t="str">
        <f t="shared" si="1"/>
        <v>يفوق التوقعات</v>
      </c>
    </row>
    <row r="7" spans="1:16" ht="21" customHeight="1" x14ac:dyDescent="0.45">
      <c r="A7" s="60">
        <v>4</v>
      </c>
      <c r="B7" s="61" t="s">
        <v>173</v>
      </c>
      <c r="C7" s="57">
        <v>9.1</v>
      </c>
      <c r="D7" s="57">
        <v>62</v>
      </c>
      <c r="E7" s="57">
        <v>59</v>
      </c>
      <c r="F7" s="57">
        <v>3.3</v>
      </c>
      <c r="G7" s="57">
        <v>82</v>
      </c>
      <c r="H7" s="57">
        <v>55</v>
      </c>
      <c r="I7" s="58">
        <f>IF($B7="","",IF(C7="","",IFERROR(ROUND(IF('دليل المؤشرات'!$D$18="↓",MIN('دليل المؤشرات'!$F$18/C7,1),IF('دليل المؤشرات'!$D$18="★",C7/10,MIN(C7/'دليل المؤشرات'!$F$18,1)))*'دليل المؤشرات'!$E$18,1),0)))</f>
        <v>15.2</v>
      </c>
      <c r="J7" s="58">
        <f>IF($B7="","",IF(D7="","",IFERROR(ROUND(IF('دليل المؤشرات'!$D$19="↓",MIN('دليل المؤشرات'!$F$19/D7,1),IF('دليل المؤشرات'!$D$19="★",D7/10,MIN(D7/'دليل المؤشرات'!$F$19,1)))*'دليل المؤشرات'!$E$19,1),0)))</f>
        <v>14.6</v>
      </c>
      <c r="K7" s="58">
        <f>IF($B7="","",IF(E7="","",IFERROR(ROUND(IF('دليل المؤشرات'!$D$20="↓",MIN('دليل المؤشرات'!$F$20/E7,1),IF('دليل المؤشرات'!$D$20="★",E7/10,MIN(E7/'دليل المؤشرات'!$F$20,1)))*'دليل المؤشرات'!$E$20,1),0)))</f>
        <v>9.8000000000000007</v>
      </c>
      <c r="L7" s="58">
        <f>IF($B7="","",IF(F7="","",IFERROR(ROUND(IF('دليل المؤشرات'!$D$21="↓",MIN('دليل المؤشرات'!$F$21/F7,1),IF('دليل المؤشرات'!$D$21="★",F7/10,MIN(F7/'دليل المؤشرات'!$F$21,1)))*'دليل المؤشرات'!$E$21,1),0)))</f>
        <v>11</v>
      </c>
      <c r="M7" s="58">
        <f>IF($B7="","",IF(G7="","",IFERROR(ROUND(IF('دليل المؤشرات'!$D$22="↓",MIN('دليل المؤشرات'!$F$22/G7,1),IF('دليل المؤشرات'!$D$22="★",G7/10,MIN(G7/'دليل المؤشرات'!$F$22,1)))*'دليل المؤشرات'!$E$22,1),0)))</f>
        <v>10.3</v>
      </c>
      <c r="N7" s="58">
        <f>IF($B7="","",IF(H7="","",IFERROR(ROUND(IF('دليل المؤشرات'!$D$23="↓",MIN('دليل المؤشرات'!$F$23/H7,1),IF('دليل المؤشرات'!$D$23="★",H7/10,MIN(H7/'دليل المؤشرات'!$F$23,1)))*'دليل المؤشرات'!$E$23,1),0)))</f>
        <v>6.1</v>
      </c>
      <c r="O7" s="59">
        <f t="shared" si="0"/>
        <v>67</v>
      </c>
      <c r="P7" s="39" t="str">
        <f t="shared" si="1"/>
        <v>يلبّي التوقعات</v>
      </c>
    </row>
    <row r="8" spans="1:16" ht="21" customHeight="1" x14ac:dyDescent="0.45">
      <c r="A8" s="55">
        <v>5</v>
      </c>
      <c r="B8" s="56" t="s">
        <v>174</v>
      </c>
      <c r="C8" s="57">
        <v>9.9</v>
      </c>
      <c r="D8" s="57">
        <v>58</v>
      </c>
      <c r="E8" s="57">
        <v>63</v>
      </c>
      <c r="F8" s="57">
        <v>3.1</v>
      </c>
      <c r="G8" s="57">
        <v>92</v>
      </c>
      <c r="H8" s="57">
        <v>63</v>
      </c>
      <c r="I8" s="58">
        <f>IF($B8="","",IF(C8="","",IFERROR(ROUND(IF('دليل المؤشرات'!$D$18="↓",MIN('دليل المؤشرات'!$F$18/C8,1),IF('دليل المؤشرات'!$D$18="★",C8/10,MIN(C8/'دليل المؤشرات'!$F$18,1)))*'دليل المؤشرات'!$E$18,1),0)))</f>
        <v>16.5</v>
      </c>
      <c r="J8" s="58">
        <f>IF($B8="","",IF(D8="","",IFERROR(ROUND(IF('دليل المؤشرات'!$D$19="↓",MIN('دليل المؤشرات'!$F$19/D8,1),IF('دليل المؤشرات'!$D$19="★",D8/10,MIN(D8/'دليل المؤشرات'!$F$19,1)))*'دليل المؤشرات'!$E$19,1),0)))</f>
        <v>13.6</v>
      </c>
      <c r="K8" s="58">
        <f>IF($B8="","",IF(E8="","",IFERROR(ROUND(IF('دليل المؤشرات'!$D$20="↓",MIN('دليل المؤشرات'!$F$20/E8,1),IF('دليل المؤشرات'!$D$20="★",E8/10,MIN(E8/'دليل المؤشرات'!$F$20,1)))*'دليل المؤشرات'!$E$20,1),0)))</f>
        <v>10.5</v>
      </c>
      <c r="L8" s="58">
        <f>IF($B8="","",IF(F8="","",IFERROR(ROUND(IF('دليل المؤشرات'!$D$21="↓",MIN('دليل المؤشرات'!$F$21/F8,1),IF('دليل المؤشرات'!$D$21="★",F8/10,MIN(F8/'دليل المؤشرات'!$F$21,1)))*'دليل المؤشرات'!$E$21,1),0)))</f>
        <v>10.3</v>
      </c>
      <c r="M8" s="58">
        <f>IF($B8="","",IF(G8="","",IFERROR(ROUND(IF('دليل المؤشرات'!$D$22="↓",MIN('دليل المؤشرات'!$F$22/G8,1),IF('دليل المؤشرات'!$D$22="★",G8/10,MIN(G8/'دليل المؤشرات'!$F$22,1)))*'دليل المؤشرات'!$E$22,1),0)))</f>
        <v>11.5</v>
      </c>
      <c r="N8" s="58">
        <f>IF($B8="","",IF(H8="","",IFERROR(ROUND(IF('دليل المؤشرات'!$D$23="↓",MIN('دليل المؤشرات'!$F$23/H8,1),IF('دليل المؤشرات'!$D$23="★",H8/10,MIN(H8/'دليل المؤشرات'!$F$23,1)))*'دليل المؤشرات'!$E$23,1),0)))</f>
        <v>7</v>
      </c>
      <c r="O8" s="59">
        <f t="shared" si="0"/>
        <v>69.400000000000006</v>
      </c>
      <c r="P8" s="35" t="str">
        <f t="shared" si="1"/>
        <v>يلبّي التوقعات</v>
      </c>
    </row>
    <row r="9" spans="1:16" ht="21" customHeight="1" x14ac:dyDescent="0.45">
      <c r="A9" s="60">
        <v>6</v>
      </c>
      <c r="B9" s="61" t="s">
        <v>175</v>
      </c>
      <c r="C9" s="57">
        <v>6.7</v>
      </c>
      <c r="D9" s="57">
        <v>42</v>
      </c>
      <c r="E9" s="57">
        <v>46</v>
      </c>
      <c r="F9" s="57">
        <v>1.9</v>
      </c>
      <c r="G9" s="57">
        <v>51</v>
      </c>
      <c r="H9" s="57">
        <v>42</v>
      </c>
      <c r="I9" s="58">
        <f>IF($B9="","",IF(C9="","",IFERROR(ROUND(IF('دليل المؤشرات'!$D$18="↓",MIN('دليل المؤشرات'!$F$18/C9,1),IF('دليل المؤشرات'!$D$18="★",C9/10,MIN(C9/'دليل المؤشرات'!$F$18,1)))*'دليل المؤشرات'!$E$18,1),0)))</f>
        <v>11.2</v>
      </c>
      <c r="J9" s="58">
        <f>IF($B9="","",IF(D9="","",IFERROR(ROUND(IF('دليل المؤشرات'!$D$19="↓",MIN('دليل المؤشرات'!$F$19/D9,1),IF('دليل المؤشرات'!$D$19="★",D9/10,MIN(D9/'دليل المؤشرات'!$F$19,1)))*'دليل المؤشرات'!$E$19,1),0)))</f>
        <v>9.9</v>
      </c>
      <c r="K9" s="58">
        <f>IF($B9="","",IF(E9="","",IFERROR(ROUND(IF('دليل المؤشرات'!$D$20="↓",MIN('دليل المؤشرات'!$F$20/E9,1),IF('دليل المؤشرات'!$D$20="★",E9/10,MIN(E9/'دليل المؤشرات'!$F$20,1)))*'دليل المؤشرات'!$E$20,1),0)))</f>
        <v>7.7</v>
      </c>
      <c r="L9" s="58">
        <f>IF($B9="","",IF(F9="","",IFERROR(ROUND(IF('دليل المؤشرات'!$D$21="↓",MIN('دليل المؤشرات'!$F$21/F9,1),IF('دليل المؤشرات'!$D$21="★",F9/10,MIN(F9/'دليل المؤشرات'!$F$21,1)))*'دليل المؤشرات'!$E$21,1),0)))</f>
        <v>6.3</v>
      </c>
      <c r="M9" s="58">
        <f>IF($B9="","",IF(G9="","",IFERROR(ROUND(IF('دليل المؤشرات'!$D$22="↓",MIN('دليل المؤشرات'!$F$22/G9,1),IF('دليل المؤشرات'!$D$22="★",G9/10,MIN(G9/'دليل المؤشرات'!$F$22,1)))*'دليل المؤشرات'!$E$22,1),0)))</f>
        <v>6.4</v>
      </c>
      <c r="N9" s="58">
        <f>IF($B9="","",IF(H9="","",IFERROR(ROUND(IF('دليل المؤشرات'!$D$23="↓",MIN('دليل المؤشرات'!$F$23/H9,1),IF('دليل المؤشرات'!$D$23="★",H9/10,MIN(H9/'دليل المؤشرات'!$F$23,1)))*'دليل المؤشرات'!$E$23,1),0)))</f>
        <v>4.7</v>
      </c>
      <c r="O9" s="59">
        <f t="shared" si="0"/>
        <v>46.2</v>
      </c>
      <c r="P9" s="39" t="str">
        <f t="shared" si="1"/>
        <v>يحتاج تطوير</v>
      </c>
    </row>
    <row r="10" spans="1:16" ht="21" customHeight="1" x14ac:dyDescent="0.45">
      <c r="A10" s="55">
        <v>7</v>
      </c>
      <c r="B10" s="56" t="s">
        <v>176</v>
      </c>
      <c r="C10" s="57">
        <v>13.9</v>
      </c>
      <c r="D10" s="57">
        <v>91</v>
      </c>
      <c r="E10" s="57">
        <v>89</v>
      </c>
      <c r="F10" s="57">
        <v>4.5</v>
      </c>
      <c r="G10" s="57">
        <v>129</v>
      </c>
      <c r="H10" s="57">
        <v>88</v>
      </c>
      <c r="I10" s="58">
        <f>IF($B10="","",IF(C10="","",IFERROR(ROUND(IF('دليل المؤشرات'!$D$18="↓",MIN('دليل المؤشرات'!$F$18/C10,1),IF('دليل المؤشرات'!$D$18="★",C10/10,MIN(C10/'دليل المؤشرات'!$F$18,1)))*'دليل المؤشرات'!$E$18,1),0)))</f>
        <v>23.2</v>
      </c>
      <c r="J10" s="58">
        <f>IF($B10="","",IF(D10="","",IFERROR(ROUND(IF('دليل المؤشرات'!$D$19="↓",MIN('دليل المؤشرات'!$F$19/D10,1),IF('دليل المؤشرات'!$D$19="★",D10/10,MIN(D10/'دليل المؤشرات'!$F$19,1)))*'دليل المؤشرات'!$E$19,1),0)))</f>
        <v>20</v>
      </c>
      <c r="K10" s="58">
        <f>IF($B10="","",IF(E10="","",IFERROR(ROUND(IF('دليل المؤشرات'!$D$20="↓",MIN('دليل المؤشرات'!$F$20/E10,1),IF('دليل المؤشرات'!$D$20="★",E10/10,MIN(E10/'دليل المؤشرات'!$F$20,1)))*'دليل المؤشرات'!$E$20,1),0)))</f>
        <v>14.8</v>
      </c>
      <c r="L10" s="58">
        <f>IF($B10="","",IF(F10="","",IFERROR(ROUND(IF('دليل المؤشرات'!$D$21="↓",MIN('دليل المؤشرات'!$F$21/F10,1),IF('دليل المؤشرات'!$D$21="★",F10/10,MIN(F10/'دليل المؤشرات'!$F$21,1)))*'دليل المؤشرات'!$E$21,1),0)))</f>
        <v>15</v>
      </c>
      <c r="M10" s="58">
        <f>IF($B10="","",IF(G10="","",IFERROR(ROUND(IF('دليل المؤشرات'!$D$22="↓",MIN('دليل المؤشرات'!$F$22/G10,1),IF('دليل المؤشرات'!$D$22="★",G10/10,MIN(G10/'دليل المؤشرات'!$F$22,1)))*'دليل المؤشرات'!$E$22,1),0)))</f>
        <v>15</v>
      </c>
      <c r="N10" s="58">
        <f>IF($B10="","",IF(H10="","",IFERROR(ROUND(IF('دليل المؤشرات'!$D$23="↓",MIN('دليل المؤشرات'!$F$23/H10,1),IF('دليل المؤشرات'!$D$23="★",H10/10,MIN(H10/'دليل المؤشرات'!$F$23,1)))*'دليل المؤشرات'!$E$23,1),0)))</f>
        <v>9.8000000000000007</v>
      </c>
      <c r="O10" s="59">
        <f t="shared" si="0"/>
        <v>97.8</v>
      </c>
      <c r="P10" s="35" t="str">
        <f t="shared" si="1"/>
        <v>أداء متميز</v>
      </c>
    </row>
    <row r="11" spans="1:16" ht="21" customHeight="1" x14ac:dyDescent="0.45">
      <c r="A11" s="60">
        <v>8</v>
      </c>
      <c r="B11" s="61" t="s">
        <v>177</v>
      </c>
      <c r="C11" s="57">
        <v>12.4</v>
      </c>
      <c r="D11" s="57">
        <v>74</v>
      </c>
      <c r="E11" s="57">
        <v>69</v>
      </c>
      <c r="F11" s="57">
        <v>3.8</v>
      </c>
      <c r="G11" s="57">
        <v>99</v>
      </c>
      <c r="H11" s="57">
        <v>73</v>
      </c>
      <c r="I11" s="58">
        <f>IF($B11="","",IF(C11="","",IFERROR(ROUND(IF('دليل المؤشرات'!$D$18="↓",MIN('دليل المؤشرات'!$F$18/C11,1),IF('دليل المؤشرات'!$D$18="★",C11/10,MIN(C11/'دليل المؤشرات'!$F$18,1)))*'دليل المؤشرات'!$E$18,1),0)))</f>
        <v>20.7</v>
      </c>
      <c r="J11" s="58">
        <f>IF($B11="","",IF(D11="","",IFERROR(ROUND(IF('دليل المؤشرات'!$D$19="↓",MIN('دليل المؤشرات'!$F$19/D11,1),IF('دليل المؤشرات'!$D$19="★",D11/10,MIN(D11/'دليل المؤشرات'!$F$19,1)))*'دليل المؤشرات'!$E$19,1),0)))</f>
        <v>17.399999999999999</v>
      </c>
      <c r="K11" s="58">
        <f>IF($B11="","",IF(E11="","",IFERROR(ROUND(IF('دليل المؤشرات'!$D$20="↓",MIN('دليل المؤشرات'!$F$20/E11,1),IF('دليل المؤشرات'!$D$20="★",E11/10,MIN(E11/'دليل المؤشرات'!$F$20,1)))*'دليل المؤشرات'!$E$20,1),0)))</f>
        <v>11.5</v>
      </c>
      <c r="L11" s="58">
        <f>IF($B11="","",IF(F11="","",IFERROR(ROUND(IF('دليل المؤشرات'!$D$21="↓",MIN('دليل المؤشرات'!$F$21/F11,1),IF('دليل المؤشرات'!$D$21="★",F11/10,MIN(F11/'دليل المؤشرات'!$F$21,1)))*'دليل المؤشرات'!$E$21,1),0)))</f>
        <v>12.7</v>
      </c>
      <c r="M11" s="58">
        <f>IF($B11="","",IF(G11="","",IFERROR(ROUND(IF('دليل المؤشرات'!$D$22="↓",MIN('دليل المؤشرات'!$F$22/G11,1),IF('دليل المؤشرات'!$D$22="★",G11/10,MIN(G11/'دليل المؤشرات'!$F$22,1)))*'دليل المؤشرات'!$E$22,1),0)))</f>
        <v>12.4</v>
      </c>
      <c r="N11" s="58">
        <f>IF($B11="","",IF(H11="","",IFERROR(ROUND(IF('دليل المؤشرات'!$D$23="↓",MIN('دليل المؤشرات'!$F$23/H11,1),IF('دليل المؤشرات'!$D$23="★",H11/10,MIN(H11/'دليل المؤشرات'!$F$23,1)))*'دليل المؤشرات'!$E$23,1),0)))</f>
        <v>8.1</v>
      </c>
      <c r="O11" s="59">
        <f t="shared" si="0"/>
        <v>82.8</v>
      </c>
      <c r="P11" s="39" t="str">
        <f t="shared" si="1"/>
        <v>يفوق التوقعات</v>
      </c>
    </row>
    <row r="12" spans="1:16" ht="21" customHeight="1" x14ac:dyDescent="0.45">
      <c r="A12" s="55">
        <v>9</v>
      </c>
      <c r="B12" s="56" t="s">
        <v>178</v>
      </c>
      <c r="C12" s="57">
        <v>9.5</v>
      </c>
      <c r="D12" s="57">
        <v>61</v>
      </c>
      <c r="E12" s="57">
        <v>68</v>
      </c>
      <c r="F12" s="57">
        <v>3.1</v>
      </c>
      <c r="G12" s="57">
        <v>77</v>
      </c>
      <c r="H12" s="57">
        <v>65</v>
      </c>
      <c r="I12" s="58">
        <f>IF($B12="","",IF(C12="","",IFERROR(ROUND(IF('دليل المؤشرات'!$D$18="↓",MIN('دليل المؤشرات'!$F$18/C12,1),IF('دليل المؤشرات'!$D$18="★",C12/10,MIN(C12/'دليل المؤشرات'!$F$18,1)))*'دليل المؤشرات'!$E$18,1),0)))</f>
        <v>15.8</v>
      </c>
      <c r="J12" s="58">
        <f>IF($B12="","",IF(D12="","",IFERROR(ROUND(IF('دليل المؤشرات'!$D$19="↓",MIN('دليل المؤشرات'!$F$19/D12,1),IF('دليل المؤشرات'!$D$19="★",D12/10,MIN(D12/'دليل المؤشرات'!$F$19,1)))*'دليل المؤشرات'!$E$19,1),0)))</f>
        <v>14.4</v>
      </c>
      <c r="K12" s="58">
        <f>IF($B12="","",IF(E12="","",IFERROR(ROUND(IF('دليل المؤشرات'!$D$20="↓",MIN('دليل المؤشرات'!$F$20/E12,1),IF('دليل المؤشرات'!$D$20="★",E12/10,MIN(E12/'دليل المؤشرات'!$F$20,1)))*'دليل المؤشرات'!$E$20,1),0)))</f>
        <v>11.3</v>
      </c>
      <c r="L12" s="58">
        <f>IF($B12="","",IF(F12="","",IFERROR(ROUND(IF('دليل المؤشرات'!$D$21="↓",MIN('دليل المؤشرات'!$F$21/F12,1),IF('دليل المؤشرات'!$D$21="★",F12/10,MIN(F12/'دليل المؤشرات'!$F$21,1)))*'دليل المؤشرات'!$E$21,1),0)))</f>
        <v>10.3</v>
      </c>
      <c r="M12" s="58">
        <f>IF($B12="","",IF(G12="","",IFERROR(ROUND(IF('دليل المؤشرات'!$D$22="↓",MIN('دليل المؤشرات'!$F$22/G12,1),IF('دليل المؤشرات'!$D$22="★",G12/10,MIN(G12/'دليل المؤشرات'!$F$22,1)))*'دليل المؤشرات'!$E$22,1),0)))</f>
        <v>9.6</v>
      </c>
      <c r="N12" s="58">
        <f>IF($B12="","",IF(H12="","",IFERROR(ROUND(IF('دليل المؤشرات'!$D$23="↓",MIN('دليل المؤشرات'!$F$23/H12,1),IF('دليل المؤشرات'!$D$23="★",H12/10,MIN(H12/'دليل المؤشرات'!$F$23,1)))*'دليل المؤشرات'!$E$23,1),0)))</f>
        <v>7.2</v>
      </c>
      <c r="O12" s="59">
        <f t="shared" si="0"/>
        <v>68.599999999999994</v>
      </c>
      <c r="P12" s="35" t="str">
        <f t="shared" si="1"/>
        <v>يلبّي التوقعات</v>
      </c>
    </row>
    <row r="13" spans="1:16" ht="21" customHeight="1" x14ac:dyDescent="0.45">
      <c r="A13" s="60">
        <v>10</v>
      </c>
      <c r="B13" s="61" t="s">
        <v>179</v>
      </c>
      <c r="C13" s="57">
        <v>14</v>
      </c>
      <c r="D13" s="57">
        <v>73</v>
      </c>
      <c r="E13" s="57">
        <v>77</v>
      </c>
      <c r="F13" s="57">
        <v>3.9</v>
      </c>
      <c r="G13" s="57">
        <v>107</v>
      </c>
      <c r="H13" s="57">
        <v>76</v>
      </c>
      <c r="I13" s="58">
        <f>IF($B13="","",IF(C13="","",IFERROR(ROUND(IF('دليل المؤشرات'!$D$18="↓",MIN('دليل المؤشرات'!$F$18/C13,1),IF('دليل المؤشرات'!$D$18="★",C13/10,MIN(C13/'دليل المؤشرات'!$F$18,1)))*'دليل المؤشرات'!$E$18,1),0)))</f>
        <v>23.3</v>
      </c>
      <c r="J13" s="58">
        <f>IF($B13="","",IF(D13="","",IFERROR(ROUND(IF('دليل المؤشرات'!$D$19="↓",MIN('دليل المؤشرات'!$F$19/D13,1),IF('دليل المؤشرات'!$D$19="★",D13/10,MIN(D13/'دليل المؤشرات'!$F$19,1)))*'دليل المؤشرات'!$E$19,1),0)))</f>
        <v>17.2</v>
      </c>
      <c r="K13" s="58">
        <f>IF($B13="","",IF(E13="","",IFERROR(ROUND(IF('دليل المؤشرات'!$D$20="↓",MIN('دليل المؤشرات'!$F$20/E13,1),IF('دليل المؤشرات'!$D$20="★",E13/10,MIN(E13/'دليل المؤشرات'!$F$20,1)))*'دليل المؤشرات'!$E$20,1),0)))</f>
        <v>12.8</v>
      </c>
      <c r="L13" s="58">
        <f>IF($B13="","",IF(F13="","",IFERROR(ROUND(IF('دليل المؤشرات'!$D$21="↓",MIN('دليل المؤشرات'!$F$21/F13,1),IF('دليل المؤشرات'!$D$21="★",F13/10,MIN(F13/'دليل المؤشرات'!$F$21,1)))*'دليل المؤشرات'!$E$21,1),0)))</f>
        <v>13</v>
      </c>
      <c r="M13" s="58">
        <f>IF($B13="","",IF(G13="","",IFERROR(ROUND(IF('دليل المؤشرات'!$D$22="↓",MIN('دليل المؤشرات'!$F$22/G13,1),IF('دليل المؤشرات'!$D$22="★",G13/10,MIN(G13/'دليل المؤشرات'!$F$22,1)))*'دليل المؤشرات'!$E$22,1),0)))</f>
        <v>13.4</v>
      </c>
      <c r="N13" s="58">
        <f>IF($B13="","",IF(H13="","",IFERROR(ROUND(IF('دليل المؤشرات'!$D$23="↓",MIN('دليل المؤشرات'!$F$23/H13,1),IF('دليل المؤشرات'!$D$23="★",H13/10,MIN(H13/'دليل المؤشرات'!$F$23,1)))*'دليل المؤشرات'!$E$23,1),0)))</f>
        <v>8.4</v>
      </c>
      <c r="O13" s="59">
        <f t="shared" si="0"/>
        <v>88.1</v>
      </c>
      <c r="P13" s="39" t="str">
        <f t="shared" si="1"/>
        <v>يفوق التوقعات</v>
      </c>
    </row>
    <row r="14" spans="1:16" ht="21" customHeight="1" x14ac:dyDescent="0.45">
      <c r="A14" s="55">
        <v>11</v>
      </c>
      <c r="B14" s="56" t="s">
        <v>180</v>
      </c>
      <c r="C14" s="57">
        <v>10.199999999999999</v>
      </c>
      <c r="D14" s="57">
        <v>54</v>
      </c>
      <c r="E14" s="57">
        <v>68</v>
      </c>
      <c r="F14" s="57">
        <v>3</v>
      </c>
      <c r="G14" s="57">
        <v>79</v>
      </c>
      <c r="H14" s="57">
        <v>61</v>
      </c>
      <c r="I14" s="58">
        <f>IF($B14="","",IF(C14="","",IFERROR(ROUND(IF('دليل المؤشرات'!$D$18="↓",MIN('دليل المؤشرات'!$F$18/C14,1),IF('دليل المؤشرات'!$D$18="★",C14/10,MIN(C14/'دليل المؤشرات'!$F$18,1)))*'دليل المؤشرات'!$E$18,1),0)))</f>
        <v>17</v>
      </c>
      <c r="J14" s="58">
        <f>IF($B14="","",IF(D14="","",IFERROR(ROUND(IF('دليل المؤشرات'!$D$19="↓",MIN('دليل المؤشرات'!$F$19/D14,1),IF('دليل المؤشرات'!$D$19="★",D14/10,MIN(D14/'دليل المؤشرات'!$F$19,1)))*'دليل المؤشرات'!$E$19,1),0)))</f>
        <v>12.7</v>
      </c>
      <c r="K14" s="58">
        <f>IF($B14="","",IF(E14="","",IFERROR(ROUND(IF('دليل المؤشرات'!$D$20="↓",MIN('دليل المؤشرات'!$F$20/E14,1),IF('دليل المؤشرات'!$D$20="★",E14/10,MIN(E14/'دليل المؤشرات'!$F$20,1)))*'دليل المؤشرات'!$E$20,1),0)))</f>
        <v>11.3</v>
      </c>
      <c r="L14" s="58">
        <f>IF($B14="","",IF(F14="","",IFERROR(ROUND(IF('دليل المؤشرات'!$D$21="↓",MIN('دليل المؤشرات'!$F$21/F14,1),IF('دليل المؤشرات'!$D$21="★",F14/10,MIN(F14/'دليل المؤشرات'!$F$21,1)))*'دليل المؤشرات'!$E$21,1),0)))</f>
        <v>10</v>
      </c>
      <c r="M14" s="58">
        <f>IF($B14="","",IF(G14="","",IFERROR(ROUND(IF('دليل المؤشرات'!$D$22="↓",MIN('دليل المؤشرات'!$F$22/G14,1),IF('دليل المؤشرات'!$D$22="★",G14/10,MIN(G14/'دليل المؤشرات'!$F$22,1)))*'دليل المؤشرات'!$E$22,1),0)))</f>
        <v>9.9</v>
      </c>
      <c r="N14" s="58">
        <f>IF($B14="","",IF(H14="","",IFERROR(ROUND(IF('دليل المؤشرات'!$D$23="↓",MIN('دليل المؤشرات'!$F$23/H14,1),IF('دليل المؤشرات'!$D$23="★",H14/10,MIN(H14/'دليل المؤشرات'!$F$23,1)))*'دليل المؤشرات'!$E$23,1),0)))</f>
        <v>6.8</v>
      </c>
      <c r="O14" s="59">
        <f t="shared" si="0"/>
        <v>67.7</v>
      </c>
      <c r="P14" s="35" t="str">
        <f t="shared" si="1"/>
        <v>يلبّي التوقعات</v>
      </c>
    </row>
    <row r="15" spans="1:16" ht="21" customHeight="1" x14ac:dyDescent="0.45">
      <c r="A15" s="60">
        <v>12</v>
      </c>
      <c r="B15" s="61" t="s">
        <v>181</v>
      </c>
      <c r="C15" s="57">
        <v>12.3</v>
      </c>
      <c r="D15" s="57">
        <v>75</v>
      </c>
      <c r="E15" s="57">
        <v>74</v>
      </c>
      <c r="F15" s="57">
        <v>4.0999999999999996</v>
      </c>
      <c r="G15" s="57">
        <v>95</v>
      </c>
      <c r="H15" s="57">
        <v>82</v>
      </c>
      <c r="I15" s="58">
        <f>IF($B15="","",IF(C15="","",IFERROR(ROUND(IF('دليل المؤشرات'!$D$18="↓",MIN('دليل المؤشرات'!$F$18/C15,1),IF('دليل المؤشرات'!$D$18="★",C15/10,MIN(C15/'دليل المؤشرات'!$F$18,1)))*'دليل المؤشرات'!$E$18,1),0)))</f>
        <v>20.5</v>
      </c>
      <c r="J15" s="58">
        <f>IF($B15="","",IF(D15="","",IFERROR(ROUND(IF('دليل المؤشرات'!$D$19="↓",MIN('دليل المؤشرات'!$F$19/D15,1),IF('دليل المؤشرات'!$D$19="★",D15/10,MIN(D15/'دليل المؤشرات'!$F$19,1)))*'دليل المؤشرات'!$E$19,1),0)))</f>
        <v>17.600000000000001</v>
      </c>
      <c r="K15" s="58">
        <f>IF($B15="","",IF(E15="","",IFERROR(ROUND(IF('دليل المؤشرات'!$D$20="↓",MIN('دليل المؤشرات'!$F$20/E15,1),IF('دليل المؤشرات'!$D$20="★",E15/10,MIN(E15/'دليل المؤشرات'!$F$20,1)))*'دليل المؤشرات'!$E$20,1),0)))</f>
        <v>12.3</v>
      </c>
      <c r="L15" s="58">
        <f>IF($B15="","",IF(F15="","",IFERROR(ROUND(IF('دليل المؤشرات'!$D$21="↓",MIN('دليل المؤشرات'!$F$21/F15,1),IF('دليل المؤشرات'!$D$21="★",F15/10,MIN(F15/'دليل المؤشرات'!$F$21,1)))*'دليل المؤشرات'!$E$21,1),0)))</f>
        <v>13.7</v>
      </c>
      <c r="M15" s="58">
        <f>IF($B15="","",IF(G15="","",IFERROR(ROUND(IF('دليل المؤشرات'!$D$22="↓",MIN('دليل المؤشرات'!$F$22/G15,1),IF('دليل المؤشرات'!$D$22="★",G15/10,MIN(G15/'دليل المؤشرات'!$F$22,1)))*'دليل المؤشرات'!$E$22,1),0)))</f>
        <v>11.9</v>
      </c>
      <c r="N15" s="58">
        <f>IF($B15="","",IF(H15="","",IFERROR(ROUND(IF('دليل المؤشرات'!$D$23="↓",MIN('دليل المؤشرات'!$F$23/H15,1),IF('دليل المؤشرات'!$D$23="★",H15/10,MIN(H15/'دليل المؤشرات'!$F$23,1)))*'دليل المؤشرات'!$E$23,1),0)))</f>
        <v>9.1</v>
      </c>
      <c r="O15" s="59">
        <f t="shared" si="0"/>
        <v>85.1</v>
      </c>
      <c r="P15" s="39" t="str">
        <f t="shared" si="1"/>
        <v>يفوق التوقعات</v>
      </c>
    </row>
    <row r="16" spans="1:16" ht="21" customHeight="1" x14ac:dyDescent="0.45">
      <c r="A16" s="55">
        <v>13</v>
      </c>
      <c r="B16" s="56" t="s">
        <v>182</v>
      </c>
      <c r="C16" s="57">
        <v>13.6</v>
      </c>
      <c r="D16" s="57">
        <v>83</v>
      </c>
      <c r="E16" s="57">
        <v>78</v>
      </c>
      <c r="F16" s="57">
        <v>4.7</v>
      </c>
      <c r="G16" s="57">
        <v>122</v>
      </c>
      <c r="H16" s="57">
        <v>79</v>
      </c>
      <c r="I16" s="58">
        <f>IF($B16="","",IF(C16="","",IFERROR(ROUND(IF('دليل المؤشرات'!$D$18="↓",MIN('دليل المؤشرات'!$F$18/C16,1),IF('دليل المؤشرات'!$D$18="★",C16/10,MIN(C16/'دليل المؤشرات'!$F$18,1)))*'دليل المؤشرات'!$E$18,1),0)))</f>
        <v>22.7</v>
      </c>
      <c r="J16" s="58">
        <f>IF($B16="","",IF(D16="","",IFERROR(ROUND(IF('دليل المؤشرات'!$D$19="↓",MIN('دليل المؤشرات'!$F$19/D16,1),IF('دليل المؤشرات'!$D$19="★",D16/10,MIN(D16/'دليل المؤشرات'!$F$19,1)))*'دليل المؤشرات'!$E$19,1),0)))</f>
        <v>19.5</v>
      </c>
      <c r="K16" s="58">
        <f>IF($B16="","",IF(E16="","",IFERROR(ROUND(IF('دليل المؤشرات'!$D$20="↓",MIN('دليل المؤشرات'!$F$20/E16,1),IF('دليل المؤشرات'!$D$20="★",E16/10,MIN(E16/'دليل المؤشرات'!$F$20,1)))*'دليل المؤشرات'!$E$20,1),0)))</f>
        <v>13</v>
      </c>
      <c r="L16" s="58">
        <f>IF($B16="","",IF(F16="","",IFERROR(ROUND(IF('دليل المؤشرات'!$D$21="↓",MIN('دليل المؤشرات'!$F$21/F16,1),IF('دليل المؤشرات'!$D$21="★",F16/10,MIN(F16/'دليل المؤشرات'!$F$21,1)))*'دليل المؤشرات'!$E$21,1),0)))</f>
        <v>15</v>
      </c>
      <c r="M16" s="58">
        <f>IF($B16="","",IF(G16="","",IFERROR(ROUND(IF('دليل المؤشرات'!$D$22="↓",MIN('دليل المؤشرات'!$F$22/G16,1),IF('دليل المؤشرات'!$D$22="★",G16/10,MIN(G16/'دليل المؤشرات'!$F$22,1)))*'دليل المؤشرات'!$E$22,1),0)))</f>
        <v>15</v>
      </c>
      <c r="N16" s="58">
        <f>IF($B16="","",IF(H16="","",IFERROR(ROUND(IF('دليل المؤشرات'!$D$23="↓",MIN('دليل المؤشرات'!$F$23/H16,1),IF('دليل المؤشرات'!$D$23="★",H16/10,MIN(H16/'دليل المؤشرات'!$F$23,1)))*'دليل المؤشرات'!$E$23,1),0)))</f>
        <v>8.8000000000000007</v>
      </c>
      <c r="O16" s="59">
        <f t="shared" si="0"/>
        <v>94</v>
      </c>
      <c r="P16" s="35" t="str">
        <f t="shared" si="1"/>
        <v>أداء متميز</v>
      </c>
    </row>
    <row r="17" spans="1:16" ht="21" customHeight="1" x14ac:dyDescent="0.45">
      <c r="A17" s="60">
        <v>14</v>
      </c>
      <c r="B17" s="61" t="s">
        <v>183</v>
      </c>
      <c r="C17" s="57">
        <v>15.5</v>
      </c>
      <c r="D17" s="57">
        <v>87</v>
      </c>
      <c r="E17" s="57">
        <v>88</v>
      </c>
      <c r="F17" s="57">
        <v>4.2</v>
      </c>
      <c r="G17" s="57">
        <v>121</v>
      </c>
      <c r="H17" s="57">
        <v>82</v>
      </c>
      <c r="I17" s="58">
        <f>IF($B17="","",IF(C17="","",IFERROR(ROUND(IF('دليل المؤشرات'!$D$18="↓",MIN('دليل المؤشرات'!$F$18/C17,1),IF('دليل المؤشرات'!$D$18="★",C17/10,MIN(C17/'دليل المؤشرات'!$F$18,1)))*'دليل المؤشرات'!$E$18,1),0)))</f>
        <v>25</v>
      </c>
      <c r="J17" s="58">
        <f>IF($B17="","",IF(D17="","",IFERROR(ROUND(IF('دليل المؤشرات'!$D$19="↓",MIN('دليل المؤشرات'!$F$19/D17,1),IF('دليل المؤشرات'!$D$19="★",D17/10,MIN(D17/'دليل المؤشرات'!$F$19,1)))*'دليل المؤشرات'!$E$19,1),0)))</f>
        <v>20</v>
      </c>
      <c r="K17" s="58">
        <f>IF($B17="","",IF(E17="","",IFERROR(ROUND(IF('دليل المؤشرات'!$D$20="↓",MIN('دليل المؤشرات'!$F$20/E17,1),IF('دليل المؤشرات'!$D$20="★",E17/10,MIN(E17/'دليل المؤشرات'!$F$20,1)))*'دليل المؤشرات'!$E$20,1),0)))</f>
        <v>14.7</v>
      </c>
      <c r="L17" s="58">
        <f>IF($B17="","",IF(F17="","",IFERROR(ROUND(IF('دليل المؤشرات'!$D$21="↓",MIN('دليل المؤشرات'!$F$21/F17,1),IF('دليل المؤشرات'!$D$21="★",F17/10,MIN(F17/'دليل المؤشرات'!$F$21,1)))*'دليل المؤشرات'!$E$21,1),0)))</f>
        <v>14</v>
      </c>
      <c r="M17" s="58">
        <f>IF($B17="","",IF(G17="","",IFERROR(ROUND(IF('دليل المؤشرات'!$D$22="↓",MIN('دليل المؤشرات'!$F$22/G17,1),IF('دليل المؤشرات'!$D$22="★",G17/10,MIN(G17/'دليل المؤشرات'!$F$22,1)))*'دليل المؤشرات'!$E$22,1),0)))</f>
        <v>15</v>
      </c>
      <c r="N17" s="58">
        <f>IF($B17="","",IF(H17="","",IFERROR(ROUND(IF('دليل المؤشرات'!$D$23="↓",MIN('دليل المؤشرات'!$F$23/H17,1),IF('دليل المؤشرات'!$D$23="★",H17/10,MIN(H17/'دليل المؤشرات'!$F$23,1)))*'دليل المؤشرات'!$E$23,1),0)))</f>
        <v>9.1</v>
      </c>
      <c r="O17" s="59">
        <f t="shared" si="0"/>
        <v>97.8</v>
      </c>
      <c r="P17" s="39" t="str">
        <f t="shared" si="1"/>
        <v>أداء متميز</v>
      </c>
    </row>
    <row r="18" spans="1:16" ht="21" customHeight="1" x14ac:dyDescent="0.45">
      <c r="A18" s="55">
        <v>15</v>
      </c>
      <c r="B18" s="56" t="s">
        <v>184</v>
      </c>
      <c r="C18" s="57">
        <v>14.6</v>
      </c>
      <c r="D18" s="57">
        <v>84</v>
      </c>
      <c r="E18" s="57">
        <v>78</v>
      </c>
      <c r="F18" s="57">
        <v>4.2</v>
      </c>
      <c r="G18" s="57">
        <v>112</v>
      </c>
      <c r="H18" s="57">
        <v>89</v>
      </c>
      <c r="I18" s="58">
        <f>IF($B18="","",IF(C18="","",IFERROR(ROUND(IF('دليل المؤشرات'!$D$18="↓",MIN('دليل المؤشرات'!$F$18/C18,1),IF('دليل المؤشرات'!$D$18="★",C18/10,MIN(C18/'دليل المؤشرات'!$F$18,1)))*'دليل المؤشرات'!$E$18,1),0)))</f>
        <v>24.3</v>
      </c>
      <c r="J18" s="58">
        <f>IF($B18="","",IF(D18="","",IFERROR(ROUND(IF('دليل المؤشرات'!$D$19="↓",MIN('دليل المؤشرات'!$F$19/D18,1),IF('دليل المؤشرات'!$D$19="★",D18/10,MIN(D18/'دليل المؤشرات'!$F$19,1)))*'دليل المؤشرات'!$E$19,1),0)))</f>
        <v>19.8</v>
      </c>
      <c r="K18" s="58">
        <f>IF($B18="","",IF(E18="","",IFERROR(ROUND(IF('دليل المؤشرات'!$D$20="↓",MIN('دليل المؤشرات'!$F$20/E18,1),IF('دليل المؤشرات'!$D$20="★",E18/10,MIN(E18/'دليل المؤشرات'!$F$20,1)))*'دليل المؤشرات'!$E$20,1),0)))</f>
        <v>13</v>
      </c>
      <c r="L18" s="58">
        <f>IF($B18="","",IF(F18="","",IFERROR(ROUND(IF('دليل المؤشرات'!$D$21="↓",MIN('دليل المؤشرات'!$F$21/F18,1),IF('دليل المؤشرات'!$D$21="★",F18/10,MIN(F18/'دليل المؤشرات'!$F$21,1)))*'دليل المؤشرات'!$E$21,1),0)))</f>
        <v>14</v>
      </c>
      <c r="M18" s="58">
        <f>IF($B18="","",IF(G18="","",IFERROR(ROUND(IF('دليل المؤشرات'!$D$22="↓",MIN('دليل المؤشرات'!$F$22/G18,1),IF('دليل المؤشرات'!$D$22="★",G18/10,MIN(G18/'دليل المؤشرات'!$F$22,1)))*'دليل المؤشرات'!$E$22,1),0)))</f>
        <v>14</v>
      </c>
      <c r="N18" s="58">
        <f>IF($B18="","",IF(H18="","",IFERROR(ROUND(IF('دليل المؤشرات'!$D$23="↓",MIN('دليل المؤشرات'!$F$23/H18,1),IF('دليل المؤشرات'!$D$23="★",H18/10,MIN(H18/'دليل المؤشرات'!$F$23,1)))*'دليل المؤشرات'!$E$23,1),0)))</f>
        <v>9.9</v>
      </c>
      <c r="O18" s="59">
        <f t="shared" si="0"/>
        <v>95</v>
      </c>
      <c r="P18" s="35" t="str">
        <f t="shared" si="1"/>
        <v>أداء متميز</v>
      </c>
    </row>
    <row r="19" spans="1:16" ht="21" customHeight="1" x14ac:dyDescent="0.45">
      <c r="A19" s="60">
        <v>16</v>
      </c>
      <c r="B19" s="61" t="s">
        <v>185</v>
      </c>
      <c r="C19" s="57">
        <v>9.6</v>
      </c>
      <c r="D19" s="57">
        <v>53</v>
      </c>
      <c r="E19" s="57">
        <v>59</v>
      </c>
      <c r="F19" s="57">
        <v>2.8</v>
      </c>
      <c r="G19" s="57">
        <v>66</v>
      </c>
      <c r="H19" s="57">
        <v>49</v>
      </c>
      <c r="I19" s="58">
        <f>IF($B19="","",IF(C19="","",IFERROR(ROUND(IF('دليل المؤشرات'!$D$18="↓",MIN('دليل المؤشرات'!$F$18/C19,1),IF('دليل المؤشرات'!$D$18="★",C19/10,MIN(C19/'دليل المؤشرات'!$F$18,1)))*'دليل المؤشرات'!$E$18,1),0)))</f>
        <v>16</v>
      </c>
      <c r="J19" s="58">
        <f>IF($B19="","",IF(D19="","",IFERROR(ROUND(IF('دليل المؤشرات'!$D$19="↓",MIN('دليل المؤشرات'!$F$19/D19,1),IF('دليل المؤشرات'!$D$19="★",D19/10,MIN(D19/'دليل المؤشرات'!$F$19,1)))*'دليل المؤشرات'!$E$19,1),0)))</f>
        <v>12.5</v>
      </c>
      <c r="K19" s="58">
        <f>IF($B19="","",IF(E19="","",IFERROR(ROUND(IF('دليل المؤشرات'!$D$20="↓",MIN('دليل المؤشرات'!$F$20/E19,1),IF('دليل المؤشرات'!$D$20="★",E19/10,MIN(E19/'دليل المؤشرات'!$F$20,1)))*'دليل المؤشرات'!$E$20,1),0)))</f>
        <v>9.8000000000000007</v>
      </c>
      <c r="L19" s="58">
        <f>IF($B19="","",IF(F19="","",IFERROR(ROUND(IF('دليل المؤشرات'!$D$21="↓",MIN('دليل المؤشرات'!$F$21/F19,1),IF('دليل المؤشرات'!$D$21="★",F19/10,MIN(F19/'دليل المؤشرات'!$F$21,1)))*'دليل المؤشرات'!$E$21,1),0)))</f>
        <v>9.3000000000000007</v>
      </c>
      <c r="M19" s="58">
        <f>IF($B19="","",IF(G19="","",IFERROR(ROUND(IF('دليل المؤشرات'!$D$22="↓",MIN('دليل المؤشرات'!$F$22/G19,1),IF('دليل المؤشرات'!$D$22="★",G19/10,MIN(G19/'دليل المؤشرات'!$F$22,1)))*'دليل المؤشرات'!$E$22,1),0)))</f>
        <v>8.3000000000000007</v>
      </c>
      <c r="N19" s="58">
        <f>IF($B19="","",IF(H19="","",IFERROR(ROUND(IF('دليل المؤشرات'!$D$23="↓",MIN('دليل المؤشرات'!$F$23/H19,1),IF('دليل المؤشرات'!$D$23="★",H19/10,MIN(H19/'دليل المؤشرات'!$F$23,1)))*'دليل المؤشرات'!$E$23,1),0)))</f>
        <v>5.4</v>
      </c>
      <c r="O19" s="59">
        <f t="shared" si="0"/>
        <v>61.3</v>
      </c>
      <c r="P19" s="39" t="str">
        <f t="shared" si="1"/>
        <v>يلبّي التوقعات</v>
      </c>
    </row>
    <row r="20" spans="1:16" ht="21" customHeight="1" x14ac:dyDescent="0.45">
      <c r="A20" s="55">
        <v>17</v>
      </c>
      <c r="B20" s="56" t="s">
        <v>186</v>
      </c>
      <c r="C20" s="57">
        <v>8.6</v>
      </c>
      <c r="D20" s="57">
        <v>49</v>
      </c>
      <c r="E20" s="57">
        <v>52</v>
      </c>
      <c r="F20" s="57">
        <v>2.6</v>
      </c>
      <c r="G20" s="57">
        <v>68</v>
      </c>
      <c r="H20" s="57">
        <v>46</v>
      </c>
      <c r="I20" s="58">
        <f>IF($B20="","",IF(C20="","",IFERROR(ROUND(IF('دليل المؤشرات'!$D$18="↓",MIN('دليل المؤشرات'!$F$18/C20,1),IF('دليل المؤشرات'!$D$18="★",C20/10,MIN(C20/'دليل المؤشرات'!$F$18,1)))*'دليل المؤشرات'!$E$18,1),0)))</f>
        <v>14.3</v>
      </c>
      <c r="J20" s="58">
        <f>IF($B20="","",IF(D20="","",IFERROR(ROUND(IF('دليل المؤشرات'!$D$19="↓",MIN('دليل المؤشرات'!$F$19/D20,1),IF('دليل المؤشرات'!$D$19="★",D20/10,MIN(D20/'دليل المؤشرات'!$F$19,1)))*'دليل المؤشرات'!$E$19,1),0)))</f>
        <v>11.5</v>
      </c>
      <c r="K20" s="58">
        <f>IF($B20="","",IF(E20="","",IFERROR(ROUND(IF('دليل المؤشرات'!$D$20="↓",MIN('دليل المؤشرات'!$F$20/E20,1),IF('دليل المؤشرات'!$D$20="★",E20/10,MIN(E20/'دليل المؤشرات'!$F$20,1)))*'دليل المؤشرات'!$E$20,1),0)))</f>
        <v>8.6999999999999993</v>
      </c>
      <c r="L20" s="58">
        <f>IF($B20="","",IF(F20="","",IFERROR(ROUND(IF('دليل المؤشرات'!$D$21="↓",MIN('دليل المؤشرات'!$F$21/F20,1),IF('دليل المؤشرات'!$D$21="★",F20/10,MIN(F20/'دليل المؤشرات'!$F$21,1)))*'دليل المؤشرات'!$E$21,1),0)))</f>
        <v>8.6999999999999993</v>
      </c>
      <c r="M20" s="58">
        <f>IF($B20="","",IF(G20="","",IFERROR(ROUND(IF('دليل المؤشرات'!$D$22="↓",MIN('دليل المؤشرات'!$F$22/G20,1),IF('دليل المؤشرات'!$D$22="★",G20/10,MIN(G20/'دليل المؤشرات'!$F$22,1)))*'دليل المؤشرات'!$E$22,1),0)))</f>
        <v>8.5</v>
      </c>
      <c r="N20" s="58">
        <f>IF($B20="","",IF(H20="","",IFERROR(ROUND(IF('دليل المؤشرات'!$D$23="↓",MIN('دليل المؤشرات'!$F$23/H20,1),IF('دليل المؤشرات'!$D$23="★",H20/10,MIN(H20/'دليل المؤشرات'!$F$23,1)))*'دليل المؤشرات'!$E$23,1),0)))</f>
        <v>5.0999999999999996</v>
      </c>
      <c r="O20" s="59">
        <f t="shared" si="0"/>
        <v>56.8</v>
      </c>
      <c r="P20" s="35" t="str">
        <f t="shared" si="1"/>
        <v>يحتاج تطوير</v>
      </c>
    </row>
    <row r="21" spans="1:16" ht="21" customHeight="1" x14ac:dyDescent="0.45">
      <c r="A21" s="60">
        <v>18</v>
      </c>
      <c r="B21" s="61" t="s">
        <v>187</v>
      </c>
      <c r="C21" s="57">
        <v>8.5</v>
      </c>
      <c r="D21" s="57">
        <v>41</v>
      </c>
      <c r="E21" s="57">
        <v>47</v>
      </c>
      <c r="F21" s="57">
        <v>2.5</v>
      </c>
      <c r="G21" s="57">
        <v>62</v>
      </c>
      <c r="H21" s="57">
        <v>50</v>
      </c>
      <c r="I21" s="58">
        <f>IF($B21="","",IF(C21="","",IFERROR(ROUND(IF('دليل المؤشرات'!$D$18="↓",MIN('دليل المؤشرات'!$F$18/C21,1),IF('دليل المؤشرات'!$D$18="★",C21/10,MIN(C21/'دليل المؤشرات'!$F$18,1)))*'دليل المؤشرات'!$E$18,1),0)))</f>
        <v>14.2</v>
      </c>
      <c r="J21" s="58">
        <f>IF($B21="","",IF(D21="","",IFERROR(ROUND(IF('دليل المؤشرات'!$D$19="↓",MIN('دليل المؤشرات'!$F$19/D21,1),IF('دليل المؤشرات'!$D$19="★",D21/10,MIN(D21/'دليل المؤشرات'!$F$19,1)))*'دليل المؤشرات'!$E$19,1),0)))</f>
        <v>9.6</v>
      </c>
      <c r="K21" s="58">
        <f>IF($B21="","",IF(E21="","",IFERROR(ROUND(IF('دليل المؤشرات'!$D$20="↓",MIN('دليل المؤشرات'!$F$20/E21,1),IF('دليل المؤشرات'!$D$20="★",E21/10,MIN(E21/'دليل المؤشرات'!$F$20,1)))*'دليل المؤشرات'!$E$20,1),0)))</f>
        <v>7.8</v>
      </c>
      <c r="L21" s="58">
        <f>IF($B21="","",IF(F21="","",IFERROR(ROUND(IF('دليل المؤشرات'!$D$21="↓",MIN('دليل المؤشرات'!$F$21/F21,1),IF('دليل المؤشرات'!$D$21="★",F21/10,MIN(F21/'دليل المؤشرات'!$F$21,1)))*'دليل المؤشرات'!$E$21,1),0)))</f>
        <v>8.3000000000000007</v>
      </c>
      <c r="M21" s="58">
        <f>IF($B21="","",IF(G21="","",IFERROR(ROUND(IF('دليل المؤشرات'!$D$22="↓",MIN('دليل المؤشرات'!$F$22/G21,1),IF('دليل المؤشرات'!$D$22="★",G21/10,MIN(G21/'دليل المؤشرات'!$F$22,1)))*'دليل المؤشرات'!$E$22,1),0)))</f>
        <v>7.8</v>
      </c>
      <c r="N21" s="58">
        <f>IF($B21="","",IF(H21="","",IFERROR(ROUND(IF('دليل المؤشرات'!$D$23="↓",MIN('دليل المؤشرات'!$F$23/H21,1),IF('دليل المؤشرات'!$D$23="★",H21/10,MIN(H21/'دليل المؤشرات'!$F$23,1)))*'دليل المؤشرات'!$E$23,1),0)))</f>
        <v>5.6</v>
      </c>
      <c r="O21" s="59">
        <f t="shared" si="0"/>
        <v>53.3</v>
      </c>
      <c r="P21" s="39" t="str">
        <f t="shared" si="1"/>
        <v>يحتاج تطوير</v>
      </c>
    </row>
    <row r="22" spans="1:16" ht="21" customHeight="1" x14ac:dyDescent="0.45">
      <c r="A22" s="55">
        <v>19</v>
      </c>
      <c r="B22" s="56"/>
      <c r="C22" s="57"/>
      <c r="D22" s="57"/>
      <c r="E22" s="57"/>
      <c r="F22" s="57"/>
      <c r="G22" s="57"/>
      <c r="H22" s="57"/>
      <c r="I22" s="58" t="str">
        <f>IF($B22="","",IF(C22="","",IFERROR(ROUND(IF('دليل المؤشرات'!$D$18="↓",MIN('دليل المؤشرات'!$F$18/C22,1),IF('دليل المؤشرات'!$D$18="★",C22/10,MIN(C22/'دليل المؤشرات'!$F$18,1)))*'دليل المؤشرات'!$E$18,1),0)))</f>
        <v/>
      </c>
      <c r="J22" s="58" t="str">
        <f>IF($B22="","",IF(D22="","",IFERROR(ROUND(IF('دليل المؤشرات'!$D$19="↓",MIN('دليل المؤشرات'!$F$19/D22,1),IF('دليل المؤشرات'!$D$19="★",D22/10,MIN(D22/'دليل المؤشرات'!$F$19,1)))*'دليل المؤشرات'!$E$19,1),0)))</f>
        <v/>
      </c>
      <c r="K22" s="58" t="str">
        <f>IF($B22="","",IF(E22="","",IFERROR(ROUND(IF('دليل المؤشرات'!$D$20="↓",MIN('دليل المؤشرات'!$F$20/E22,1),IF('دليل المؤشرات'!$D$20="★",E22/10,MIN(E22/'دليل المؤشرات'!$F$20,1)))*'دليل المؤشرات'!$E$20,1),0)))</f>
        <v/>
      </c>
      <c r="L22" s="58" t="str">
        <f>IF($B22="","",IF(F22="","",IFERROR(ROUND(IF('دليل المؤشرات'!$D$21="↓",MIN('دليل المؤشرات'!$F$21/F22,1),IF('دليل المؤشرات'!$D$21="★",F22/10,MIN(F22/'دليل المؤشرات'!$F$21,1)))*'دليل المؤشرات'!$E$21,1),0)))</f>
        <v/>
      </c>
      <c r="M22" s="58" t="str">
        <f>IF($B22="","",IF(G22="","",IFERROR(ROUND(IF('دليل المؤشرات'!$D$22="↓",MIN('دليل المؤشرات'!$F$22/G22,1),IF('دليل المؤشرات'!$D$22="★",G22/10,MIN(G22/'دليل المؤشرات'!$F$22,1)))*'دليل المؤشرات'!$E$22,1),0)))</f>
        <v/>
      </c>
      <c r="N22" s="58" t="str">
        <f>IF($B22="","",IF(H22="","",IFERROR(ROUND(IF('دليل المؤشرات'!$D$23="↓",MIN('دليل المؤشرات'!$F$23/H22,1),IF('دليل المؤشرات'!$D$23="★",H22/10,MIN(H22/'دليل المؤشرات'!$F$23,1)))*'دليل المؤشرات'!$E$23,1),0)))</f>
        <v/>
      </c>
      <c r="O22" s="59" t="str">
        <f t="shared" si="0"/>
        <v/>
      </c>
      <c r="P22" s="35" t="str">
        <f t="shared" si="1"/>
        <v/>
      </c>
    </row>
    <row r="23" spans="1:16" ht="21" customHeight="1" x14ac:dyDescent="0.45">
      <c r="A23" s="60">
        <v>20</v>
      </c>
      <c r="B23" s="61"/>
      <c r="C23" s="57"/>
      <c r="D23" s="57"/>
      <c r="E23" s="57"/>
      <c r="F23" s="57"/>
      <c r="G23" s="57"/>
      <c r="H23" s="57"/>
      <c r="I23" s="58" t="str">
        <f>IF($B23="","",IF(C23="","",IFERROR(ROUND(IF('دليل المؤشرات'!$D$18="↓",MIN('دليل المؤشرات'!$F$18/C23,1),IF('دليل المؤشرات'!$D$18="★",C23/10,MIN(C23/'دليل المؤشرات'!$F$18,1)))*'دليل المؤشرات'!$E$18,1),0)))</f>
        <v/>
      </c>
      <c r="J23" s="58" t="str">
        <f>IF($B23="","",IF(D23="","",IFERROR(ROUND(IF('دليل المؤشرات'!$D$19="↓",MIN('دليل المؤشرات'!$F$19/D23,1),IF('دليل المؤشرات'!$D$19="★",D23/10,MIN(D23/'دليل المؤشرات'!$F$19,1)))*'دليل المؤشرات'!$E$19,1),0)))</f>
        <v/>
      </c>
      <c r="K23" s="58" t="str">
        <f>IF($B23="","",IF(E23="","",IFERROR(ROUND(IF('دليل المؤشرات'!$D$20="↓",MIN('دليل المؤشرات'!$F$20/E23,1),IF('دليل المؤشرات'!$D$20="★",E23/10,MIN(E23/'دليل المؤشرات'!$F$20,1)))*'دليل المؤشرات'!$E$20,1),0)))</f>
        <v/>
      </c>
      <c r="L23" s="58" t="str">
        <f>IF($B23="","",IF(F23="","",IFERROR(ROUND(IF('دليل المؤشرات'!$D$21="↓",MIN('دليل المؤشرات'!$F$21/F23,1),IF('دليل المؤشرات'!$D$21="★",F23/10,MIN(F23/'دليل المؤشرات'!$F$21,1)))*'دليل المؤشرات'!$E$21,1),0)))</f>
        <v/>
      </c>
      <c r="M23" s="58" t="str">
        <f>IF($B23="","",IF(G23="","",IFERROR(ROUND(IF('دليل المؤشرات'!$D$22="↓",MIN('دليل المؤشرات'!$F$22/G23,1),IF('دليل المؤشرات'!$D$22="★",G23/10,MIN(G23/'دليل المؤشرات'!$F$22,1)))*'دليل المؤشرات'!$E$22,1),0)))</f>
        <v/>
      </c>
      <c r="N23" s="58" t="str">
        <f>IF($B23="","",IF(H23="","",IFERROR(ROUND(IF('دليل المؤشرات'!$D$23="↓",MIN('دليل المؤشرات'!$F$23/H23,1),IF('دليل المؤشرات'!$D$23="★",H23/10,MIN(H23/'دليل المؤشرات'!$F$23,1)))*'دليل المؤشرات'!$E$23,1),0)))</f>
        <v/>
      </c>
      <c r="O23" s="59" t="str">
        <f t="shared" si="0"/>
        <v/>
      </c>
      <c r="P23" s="39" t="str">
        <f t="shared" si="1"/>
        <v/>
      </c>
    </row>
    <row r="24" spans="1:16" ht="21" customHeight="1" x14ac:dyDescent="0.45">
      <c r="A24" s="55">
        <v>21</v>
      </c>
      <c r="B24" s="56"/>
      <c r="C24" s="57"/>
      <c r="D24" s="57"/>
      <c r="E24" s="57"/>
      <c r="F24" s="57"/>
      <c r="G24" s="57"/>
      <c r="H24" s="57"/>
      <c r="I24" s="58" t="str">
        <f>IF($B24="","",IF(C24="","",IFERROR(ROUND(IF('دليل المؤشرات'!$D$18="↓",MIN('دليل المؤشرات'!$F$18/C24,1),IF('دليل المؤشرات'!$D$18="★",C24/10,MIN(C24/'دليل المؤشرات'!$F$18,1)))*'دليل المؤشرات'!$E$18,1),0)))</f>
        <v/>
      </c>
      <c r="J24" s="58" t="str">
        <f>IF($B24="","",IF(D24="","",IFERROR(ROUND(IF('دليل المؤشرات'!$D$19="↓",MIN('دليل المؤشرات'!$F$19/D24,1),IF('دليل المؤشرات'!$D$19="★",D24/10,MIN(D24/'دليل المؤشرات'!$F$19,1)))*'دليل المؤشرات'!$E$19,1),0)))</f>
        <v/>
      </c>
      <c r="K24" s="58" t="str">
        <f>IF($B24="","",IF(E24="","",IFERROR(ROUND(IF('دليل المؤشرات'!$D$20="↓",MIN('دليل المؤشرات'!$F$20/E24,1),IF('دليل المؤشرات'!$D$20="★",E24/10,MIN(E24/'دليل المؤشرات'!$F$20,1)))*'دليل المؤشرات'!$E$20,1),0)))</f>
        <v/>
      </c>
      <c r="L24" s="58" t="str">
        <f>IF($B24="","",IF(F24="","",IFERROR(ROUND(IF('دليل المؤشرات'!$D$21="↓",MIN('دليل المؤشرات'!$F$21/F24,1),IF('دليل المؤشرات'!$D$21="★",F24/10,MIN(F24/'دليل المؤشرات'!$F$21,1)))*'دليل المؤشرات'!$E$21,1),0)))</f>
        <v/>
      </c>
      <c r="M24" s="58" t="str">
        <f>IF($B24="","",IF(G24="","",IFERROR(ROUND(IF('دليل المؤشرات'!$D$22="↓",MIN('دليل المؤشرات'!$F$22/G24,1),IF('دليل المؤشرات'!$D$22="★",G24/10,MIN(G24/'دليل المؤشرات'!$F$22,1)))*'دليل المؤشرات'!$E$22,1),0)))</f>
        <v/>
      </c>
      <c r="N24" s="58" t="str">
        <f>IF($B24="","",IF(H24="","",IFERROR(ROUND(IF('دليل المؤشرات'!$D$23="↓",MIN('دليل المؤشرات'!$F$23/H24,1),IF('دليل المؤشرات'!$D$23="★",H24/10,MIN(H24/'دليل المؤشرات'!$F$23,1)))*'دليل المؤشرات'!$E$23,1),0)))</f>
        <v/>
      </c>
      <c r="O24" s="59" t="str">
        <f t="shared" si="0"/>
        <v/>
      </c>
      <c r="P24" s="35" t="str">
        <f t="shared" si="1"/>
        <v/>
      </c>
    </row>
    <row r="25" spans="1:16" ht="21" customHeight="1" x14ac:dyDescent="0.45">
      <c r="A25" s="60">
        <v>22</v>
      </c>
      <c r="B25" s="61"/>
      <c r="C25" s="57"/>
      <c r="D25" s="57"/>
      <c r="E25" s="57"/>
      <c r="F25" s="57"/>
      <c r="G25" s="57"/>
      <c r="H25" s="57"/>
      <c r="I25" s="58" t="str">
        <f>IF($B25="","",IF(C25="","",IFERROR(ROUND(IF('دليل المؤشرات'!$D$18="↓",MIN('دليل المؤشرات'!$F$18/C25,1),IF('دليل المؤشرات'!$D$18="★",C25/10,MIN(C25/'دليل المؤشرات'!$F$18,1)))*'دليل المؤشرات'!$E$18,1),0)))</f>
        <v/>
      </c>
      <c r="J25" s="58" t="str">
        <f>IF($B25="","",IF(D25="","",IFERROR(ROUND(IF('دليل المؤشرات'!$D$19="↓",MIN('دليل المؤشرات'!$F$19/D25,1),IF('دليل المؤشرات'!$D$19="★",D25/10,MIN(D25/'دليل المؤشرات'!$F$19,1)))*'دليل المؤشرات'!$E$19,1),0)))</f>
        <v/>
      </c>
      <c r="K25" s="58" t="str">
        <f>IF($B25="","",IF(E25="","",IFERROR(ROUND(IF('دليل المؤشرات'!$D$20="↓",MIN('دليل المؤشرات'!$F$20/E25,1),IF('دليل المؤشرات'!$D$20="★",E25/10,MIN(E25/'دليل المؤشرات'!$F$20,1)))*'دليل المؤشرات'!$E$20,1),0)))</f>
        <v/>
      </c>
      <c r="L25" s="58" t="str">
        <f>IF($B25="","",IF(F25="","",IFERROR(ROUND(IF('دليل المؤشرات'!$D$21="↓",MIN('دليل المؤشرات'!$F$21/F25,1),IF('دليل المؤشرات'!$D$21="★",F25/10,MIN(F25/'دليل المؤشرات'!$F$21,1)))*'دليل المؤشرات'!$E$21,1),0)))</f>
        <v/>
      </c>
      <c r="M25" s="58" t="str">
        <f>IF($B25="","",IF(G25="","",IFERROR(ROUND(IF('دليل المؤشرات'!$D$22="↓",MIN('دليل المؤشرات'!$F$22/G25,1),IF('دليل المؤشرات'!$D$22="★",G25/10,MIN(G25/'دليل المؤشرات'!$F$22,1)))*'دليل المؤشرات'!$E$22,1),0)))</f>
        <v/>
      </c>
      <c r="N25" s="58" t="str">
        <f>IF($B25="","",IF(H25="","",IFERROR(ROUND(IF('دليل المؤشرات'!$D$23="↓",MIN('دليل المؤشرات'!$F$23/H25,1),IF('دليل المؤشرات'!$D$23="★",H25/10,MIN(H25/'دليل المؤشرات'!$F$23,1)))*'دليل المؤشرات'!$E$23,1),0)))</f>
        <v/>
      </c>
      <c r="O25" s="59" t="str">
        <f t="shared" si="0"/>
        <v/>
      </c>
      <c r="P25" s="39" t="str">
        <f t="shared" si="1"/>
        <v/>
      </c>
    </row>
    <row r="26" spans="1:16" ht="21" customHeight="1" x14ac:dyDescent="0.45">
      <c r="A26" s="55">
        <v>23</v>
      </c>
      <c r="B26" s="56"/>
      <c r="C26" s="57"/>
      <c r="D26" s="57"/>
      <c r="E26" s="57"/>
      <c r="F26" s="57"/>
      <c r="G26" s="57"/>
      <c r="H26" s="57"/>
      <c r="I26" s="58" t="str">
        <f>IF($B26="","",IF(C26="","",IFERROR(ROUND(IF('دليل المؤشرات'!$D$18="↓",MIN('دليل المؤشرات'!$F$18/C26,1),IF('دليل المؤشرات'!$D$18="★",C26/10,MIN(C26/'دليل المؤشرات'!$F$18,1)))*'دليل المؤشرات'!$E$18,1),0)))</f>
        <v/>
      </c>
      <c r="J26" s="58" t="str">
        <f>IF($B26="","",IF(D26="","",IFERROR(ROUND(IF('دليل المؤشرات'!$D$19="↓",MIN('دليل المؤشرات'!$F$19/D26,1),IF('دليل المؤشرات'!$D$19="★",D26/10,MIN(D26/'دليل المؤشرات'!$F$19,1)))*'دليل المؤشرات'!$E$19,1),0)))</f>
        <v/>
      </c>
      <c r="K26" s="58" t="str">
        <f>IF($B26="","",IF(E26="","",IFERROR(ROUND(IF('دليل المؤشرات'!$D$20="↓",MIN('دليل المؤشرات'!$F$20/E26,1),IF('دليل المؤشرات'!$D$20="★",E26/10,MIN(E26/'دليل المؤشرات'!$F$20,1)))*'دليل المؤشرات'!$E$20,1),0)))</f>
        <v/>
      </c>
      <c r="L26" s="58" t="str">
        <f>IF($B26="","",IF(F26="","",IFERROR(ROUND(IF('دليل المؤشرات'!$D$21="↓",MIN('دليل المؤشرات'!$F$21/F26,1),IF('دليل المؤشرات'!$D$21="★",F26/10,MIN(F26/'دليل المؤشرات'!$F$21,1)))*'دليل المؤشرات'!$E$21,1),0)))</f>
        <v/>
      </c>
      <c r="M26" s="58" t="str">
        <f>IF($B26="","",IF(G26="","",IFERROR(ROUND(IF('دليل المؤشرات'!$D$22="↓",MIN('دليل المؤشرات'!$F$22/G26,1),IF('دليل المؤشرات'!$D$22="★",G26/10,MIN(G26/'دليل المؤشرات'!$F$22,1)))*'دليل المؤشرات'!$E$22,1),0)))</f>
        <v/>
      </c>
      <c r="N26" s="58" t="str">
        <f>IF($B26="","",IF(H26="","",IFERROR(ROUND(IF('دليل المؤشرات'!$D$23="↓",MIN('دليل المؤشرات'!$F$23/H26,1),IF('دليل المؤشرات'!$D$23="★",H26/10,MIN(H26/'دليل المؤشرات'!$F$23,1)))*'دليل المؤشرات'!$E$23,1),0)))</f>
        <v/>
      </c>
      <c r="O26" s="59" t="str">
        <f t="shared" si="0"/>
        <v/>
      </c>
      <c r="P26" s="35" t="str">
        <f t="shared" si="1"/>
        <v/>
      </c>
    </row>
    <row r="27" spans="1:16" ht="21" customHeight="1" x14ac:dyDescent="0.45">
      <c r="A27" s="60">
        <v>24</v>
      </c>
      <c r="B27" s="61"/>
      <c r="C27" s="57"/>
      <c r="D27" s="57"/>
      <c r="E27" s="57"/>
      <c r="F27" s="57"/>
      <c r="G27" s="57"/>
      <c r="H27" s="57"/>
      <c r="I27" s="58" t="str">
        <f>IF($B27="","",IF(C27="","",IFERROR(ROUND(IF('دليل المؤشرات'!$D$18="↓",MIN('دليل المؤشرات'!$F$18/C27,1),IF('دليل المؤشرات'!$D$18="★",C27/10,MIN(C27/'دليل المؤشرات'!$F$18,1)))*'دليل المؤشرات'!$E$18,1),0)))</f>
        <v/>
      </c>
      <c r="J27" s="58" t="str">
        <f>IF($B27="","",IF(D27="","",IFERROR(ROUND(IF('دليل المؤشرات'!$D$19="↓",MIN('دليل المؤشرات'!$F$19/D27,1),IF('دليل المؤشرات'!$D$19="★",D27/10,MIN(D27/'دليل المؤشرات'!$F$19,1)))*'دليل المؤشرات'!$E$19,1),0)))</f>
        <v/>
      </c>
      <c r="K27" s="58" t="str">
        <f>IF($B27="","",IF(E27="","",IFERROR(ROUND(IF('دليل المؤشرات'!$D$20="↓",MIN('دليل المؤشرات'!$F$20/E27,1),IF('دليل المؤشرات'!$D$20="★",E27/10,MIN(E27/'دليل المؤشرات'!$F$20,1)))*'دليل المؤشرات'!$E$20,1),0)))</f>
        <v/>
      </c>
      <c r="L27" s="58" t="str">
        <f>IF($B27="","",IF(F27="","",IFERROR(ROUND(IF('دليل المؤشرات'!$D$21="↓",MIN('دليل المؤشرات'!$F$21/F27,1),IF('دليل المؤشرات'!$D$21="★",F27/10,MIN(F27/'دليل المؤشرات'!$F$21,1)))*'دليل المؤشرات'!$E$21,1),0)))</f>
        <v/>
      </c>
      <c r="M27" s="58" t="str">
        <f>IF($B27="","",IF(G27="","",IFERROR(ROUND(IF('دليل المؤشرات'!$D$22="↓",MIN('دليل المؤشرات'!$F$22/G27,1),IF('دليل المؤشرات'!$D$22="★",G27/10,MIN(G27/'دليل المؤشرات'!$F$22,1)))*'دليل المؤشرات'!$E$22,1),0)))</f>
        <v/>
      </c>
      <c r="N27" s="58" t="str">
        <f>IF($B27="","",IF(H27="","",IFERROR(ROUND(IF('دليل المؤشرات'!$D$23="↓",MIN('دليل المؤشرات'!$F$23/H27,1),IF('دليل المؤشرات'!$D$23="★",H27/10,MIN(H27/'دليل المؤشرات'!$F$23,1)))*'دليل المؤشرات'!$E$23,1),0)))</f>
        <v/>
      </c>
      <c r="O27" s="59" t="str">
        <f t="shared" si="0"/>
        <v/>
      </c>
      <c r="P27" s="39" t="str">
        <f t="shared" si="1"/>
        <v/>
      </c>
    </row>
    <row r="28" spans="1:16" ht="21" customHeight="1" x14ac:dyDescent="0.45">
      <c r="A28" s="55">
        <v>25</v>
      </c>
      <c r="B28" s="56"/>
      <c r="C28" s="57"/>
      <c r="D28" s="57"/>
      <c r="E28" s="57"/>
      <c r="F28" s="57"/>
      <c r="G28" s="57"/>
      <c r="H28" s="57"/>
      <c r="I28" s="58" t="str">
        <f>IF($B28="","",IF(C28="","",IFERROR(ROUND(IF('دليل المؤشرات'!$D$18="↓",MIN('دليل المؤشرات'!$F$18/C28,1),IF('دليل المؤشرات'!$D$18="★",C28/10,MIN(C28/'دليل المؤشرات'!$F$18,1)))*'دليل المؤشرات'!$E$18,1),0)))</f>
        <v/>
      </c>
      <c r="J28" s="58" t="str">
        <f>IF($B28="","",IF(D28="","",IFERROR(ROUND(IF('دليل المؤشرات'!$D$19="↓",MIN('دليل المؤشرات'!$F$19/D28,1),IF('دليل المؤشرات'!$D$19="★",D28/10,MIN(D28/'دليل المؤشرات'!$F$19,1)))*'دليل المؤشرات'!$E$19,1),0)))</f>
        <v/>
      </c>
      <c r="K28" s="58" t="str">
        <f>IF($B28="","",IF(E28="","",IFERROR(ROUND(IF('دليل المؤشرات'!$D$20="↓",MIN('دليل المؤشرات'!$F$20/E28,1),IF('دليل المؤشرات'!$D$20="★",E28/10,MIN(E28/'دليل المؤشرات'!$F$20,1)))*'دليل المؤشرات'!$E$20,1),0)))</f>
        <v/>
      </c>
      <c r="L28" s="58" t="str">
        <f>IF($B28="","",IF(F28="","",IFERROR(ROUND(IF('دليل المؤشرات'!$D$21="↓",MIN('دليل المؤشرات'!$F$21/F28,1),IF('دليل المؤشرات'!$D$21="★",F28/10,MIN(F28/'دليل المؤشرات'!$F$21,1)))*'دليل المؤشرات'!$E$21,1),0)))</f>
        <v/>
      </c>
      <c r="M28" s="58" t="str">
        <f>IF($B28="","",IF(G28="","",IFERROR(ROUND(IF('دليل المؤشرات'!$D$22="↓",MIN('دليل المؤشرات'!$F$22/G28,1),IF('دليل المؤشرات'!$D$22="★",G28/10,MIN(G28/'دليل المؤشرات'!$F$22,1)))*'دليل المؤشرات'!$E$22,1),0)))</f>
        <v/>
      </c>
      <c r="N28" s="58" t="str">
        <f>IF($B28="","",IF(H28="","",IFERROR(ROUND(IF('دليل المؤشرات'!$D$23="↓",MIN('دليل المؤشرات'!$F$23/H28,1),IF('دليل المؤشرات'!$D$23="★",H28/10,MIN(H28/'دليل المؤشرات'!$F$23,1)))*'دليل المؤشرات'!$E$23,1),0)))</f>
        <v/>
      </c>
      <c r="O28" s="59" t="str">
        <f t="shared" si="0"/>
        <v/>
      </c>
      <c r="P28" s="35" t="str">
        <f t="shared" si="1"/>
        <v/>
      </c>
    </row>
    <row r="30" spans="1:16" ht="15" x14ac:dyDescent="0.45">
      <c r="B30" s="89" t="s">
        <v>149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62">
        <f>IFERROR(ROUND(AVERAGE(O4:O28),1),0)</f>
        <v>75.8</v>
      </c>
      <c r="P30" s="27" t="str">
        <f>COUNTA(B4:B28)&amp;" موظف"</f>
        <v>18 موظف</v>
      </c>
    </row>
  </sheetData>
  <mergeCells count="2">
    <mergeCell ref="A1:P1"/>
    <mergeCell ref="B30:N30"/>
  </mergeCells>
  <conditionalFormatting sqref="O4:O28">
    <cfRule type="colorScale" priority="2">
      <colorScale>
        <cfvo type="num" val="40"/>
        <cfvo type="num" val="70"/>
        <cfvo type="num" val="95"/>
        <color rgb="FFF2A9A2"/>
        <color rgb="FFFBE3A6"/>
        <color rgb="FFA6D2B4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30"/>
  <sheetViews>
    <sheetView showGridLines="0"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P1"/>
    </sheetView>
  </sheetViews>
  <sheetFormatPr defaultColWidth="8.6640625" defaultRowHeight="14.25" x14ac:dyDescent="0.45"/>
  <cols>
    <col min="1" max="1" width="3.46484375" customWidth="1"/>
    <col min="2" max="2" width="22" customWidth="1"/>
    <col min="3" max="8" width="13" customWidth="1"/>
    <col min="9" max="14" width="6.53125" customWidth="1"/>
    <col min="15" max="15" width="11" customWidth="1"/>
    <col min="16" max="16" width="15" customWidth="1"/>
  </cols>
  <sheetData>
    <row r="1" spans="1:16" ht="33.75" customHeight="1" x14ac:dyDescent="0.45">
      <c r="A1" s="86" t="s">
        <v>188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42" customHeight="1" x14ac:dyDescent="0.45">
      <c r="A2" s="48" t="s">
        <v>121</v>
      </c>
      <c r="B2" s="34" t="s">
        <v>122</v>
      </c>
      <c r="C2" s="49" t="s">
        <v>100</v>
      </c>
      <c r="D2" s="49" t="s">
        <v>101</v>
      </c>
      <c r="E2" s="49" t="s">
        <v>102</v>
      </c>
      <c r="F2" s="49" t="s">
        <v>103</v>
      </c>
      <c r="G2" s="49" t="s">
        <v>104</v>
      </c>
      <c r="H2" s="49" t="s">
        <v>105</v>
      </c>
      <c r="I2" s="50" t="s">
        <v>123</v>
      </c>
      <c r="J2" s="50" t="s">
        <v>124</v>
      </c>
      <c r="K2" s="50" t="s">
        <v>125</v>
      </c>
      <c r="L2" s="50" t="s">
        <v>126</v>
      </c>
      <c r="M2" s="50" t="s">
        <v>127</v>
      </c>
      <c r="N2" s="50" t="s">
        <v>128</v>
      </c>
      <c r="O2" s="51" t="s">
        <v>21</v>
      </c>
      <c r="P2" s="51" t="s">
        <v>12</v>
      </c>
    </row>
    <row r="3" spans="1:16" ht="18" customHeight="1" x14ac:dyDescent="0.45">
      <c r="A3" s="47"/>
      <c r="B3" s="52" t="s">
        <v>129</v>
      </c>
      <c r="C3" s="53">
        <f>'دليل المؤشرات'!F25</f>
        <v>85</v>
      </c>
      <c r="D3" s="53">
        <f>'دليل المؤشرات'!F26</f>
        <v>80</v>
      </c>
      <c r="E3" s="53">
        <f>'دليل المؤشرات'!F27</f>
        <v>90</v>
      </c>
      <c r="F3" s="53">
        <f>'دليل المؤشرات'!F28</f>
        <v>2</v>
      </c>
      <c r="G3" s="53">
        <f>'دليل المؤشرات'!F29</f>
        <v>50</v>
      </c>
      <c r="H3" s="53">
        <f>'دليل المؤشرات'!F30</f>
        <v>200</v>
      </c>
      <c r="I3" s="54">
        <f>'دليل المؤشرات'!E25</f>
        <v>25</v>
      </c>
      <c r="J3" s="54">
        <f>'دليل المؤشرات'!E26</f>
        <v>20</v>
      </c>
      <c r="K3" s="54">
        <f>'دليل المؤشرات'!E27</f>
        <v>20</v>
      </c>
      <c r="L3" s="54">
        <f>'دليل المؤشرات'!E28</f>
        <v>15</v>
      </c>
      <c r="M3" s="54">
        <f>'دليل المؤشرات'!E29</f>
        <v>10</v>
      </c>
      <c r="N3" s="54">
        <f>'دليل المؤشرات'!E30</f>
        <v>10</v>
      </c>
      <c r="O3" s="30" t="s">
        <v>130</v>
      </c>
      <c r="P3" s="47"/>
    </row>
    <row r="4" spans="1:16" ht="21" customHeight="1" x14ac:dyDescent="0.45">
      <c r="A4" s="55">
        <v>1</v>
      </c>
      <c r="B4" s="56" t="s">
        <v>189</v>
      </c>
      <c r="C4" s="57">
        <v>67</v>
      </c>
      <c r="D4" s="57">
        <v>58</v>
      </c>
      <c r="E4" s="57">
        <v>71</v>
      </c>
      <c r="F4" s="57">
        <v>2.7</v>
      </c>
      <c r="G4" s="57">
        <v>40</v>
      </c>
      <c r="H4" s="57">
        <v>160</v>
      </c>
      <c r="I4" s="58">
        <f>IF($B4="","",IF(C4="","",IFERROR(ROUND(IF('دليل المؤشرات'!$D$25="↓",MIN('دليل المؤشرات'!$F$25/C4,1),IF('دليل المؤشرات'!$D$25="★",C4/10,MIN(C4/'دليل المؤشرات'!$F$25,1)))*'دليل المؤشرات'!$E$25,1),0)))</f>
        <v>19.7</v>
      </c>
      <c r="J4" s="58">
        <f>IF($B4="","",IF(D4="","",IFERROR(ROUND(IF('دليل المؤشرات'!$D$26="↓",MIN('دليل المؤشرات'!$F$26/D4,1),IF('دليل المؤشرات'!$D$26="★",D4/10,MIN(D4/'دليل المؤشرات'!$F$26,1)))*'دليل المؤشرات'!$E$26,1),0)))</f>
        <v>14.5</v>
      </c>
      <c r="K4" s="58">
        <f>IF($B4="","",IF(E4="","",IFERROR(ROUND(IF('دليل المؤشرات'!$D$27="↓",MIN('دليل المؤشرات'!$F$27/E4,1),IF('دليل المؤشرات'!$D$27="★",E4/10,MIN(E4/'دليل المؤشرات'!$F$27,1)))*'دليل المؤشرات'!$E$27,1),0)))</f>
        <v>15.8</v>
      </c>
      <c r="L4" s="58">
        <f>IF($B4="","",IF(F4="","",IFERROR(ROUND(IF('دليل المؤشرات'!$D$28="↓",MIN('دليل المؤشرات'!$F$28/F4,1),IF('دليل المؤشرات'!$D$28="★",F4/10,MIN(F4/'دليل المؤشرات'!$F$28,1)))*'دليل المؤشرات'!$E$28,1),0)))</f>
        <v>11.1</v>
      </c>
      <c r="M4" s="58">
        <f>IF($B4="","",IF(G4="","",IFERROR(ROUND(IF('دليل المؤشرات'!$D$29="↓",MIN('دليل المؤشرات'!$F$29/G4,1),IF('دليل المؤشرات'!$D$29="★",G4/10,MIN(G4/'دليل المؤشرات'!$F$29,1)))*'دليل المؤشرات'!$E$29,1),0)))</f>
        <v>8</v>
      </c>
      <c r="N4" s="58">
        <f>IF($B4="","",IF(H4="","",IFERROR(ROUND(IF('دليل المؤشرات'!$D$30="↓",MIN('دليل المؤشرات'!$F$30/H4,1),IF('دليل المؤشرات'!$D$30="★",H4/10,MIN(H4/'دليل المؤشرات'!$F$30,1)))*'دليل المؤشرات'!$E$30,1),0)))</f>
        <v>8</v>
      </c>
      <c r="O4" s="59">
        <f t="shared" ref="O4:O28" si="0">IF(B4="","",ROUND(SUM(I4:N4),1))</f>
        <v>77.099999999999994</v>
      </c>
      <c r="P4" s="35" t="str">
        <f t="shared" ref="P4:P28" si="1">IF(O4="","",IF(O4&gt;=90,"أداء متميز",IF(O4&gt;=75,"يفوق التوقعات",IF(O4&gt;=60,"يلبّي التوقعات",IF(O4&gt;=45,"يحتاج تطوير","غير مُرضٍ")))))</f>
        <v>يفوق التوقعات</v>
      </c>
    </row>
    <row r="5" spans="1:16" ht="21" customHeight="1" x14ac:dyDescent="0.45">
      <c r="A5" s="60">
        <v>2</v>
      </c>
      <c r="B5" s="61" t="s">
        <v>190</v>
      </c>
      <c r="C5" s="57">
        <v>64</v>
      </c>
      <c r="D5" s="57">
        <v>67</v>
      </c>
      <c r="E5" s="57">
        <v>63</v>
      </c>
      <c r="F5" s="57">
        <v>2.8</v>
      </c>
      <c r="G5" s="57">
        <v>38</v>
      </c>
      <c r="H5" s="57">
        <v>158</v>
      </c>
      <c r="I5" s="58">
        <f>IF($B5="","",IF(C5="","",IFERROR(ROUND(IF('دليل المؤشرات'!$D$25="↓",MIN('دليل المؤشرات'!$F$25/C5,1),IF('دليل المؤشرات'!$D$25="★",C5/10,MIN(C5/'دليل المؤشرات'!$F$25,1)))*'دليل المؤشرات'!$E$25,1),0)))</f>
        <v>18.8</v>
      </c>
      <c r="J5" s="58">
        <f>IF($B5="","",IF(D5="","",IFERROR(ROUND(IF('دليل المؤشرات'!$D$26="↓",MIN('دليل المؤشرات'!$F$26/D5,1),IF('دليل المؤشرات'!$D$26="★",D5/10,MIN(D5/'دليل المؤشرات'!$F$26,1)))*'دليل المؤشرات'!$E$26,1),0)))</f>
        <v>16.8</v>
      </c>
      <c r="K5" s="58">
        <f>IF($B5="","",IF(E5="","",IFERROR(ROUND(IF('دليل المؤشرات'!$D$27="↓",MIN('دليل المؤشرات'!$F$27/E5,1),IF('دليل المؤشرات'!$D$27="★",E5/10,MIN(E5/'دليل المؤشرات'!$F$27,1)))*'دليل المؤشرات'!$E$27,1),0)))</f>
        <v>14</v>
      </c>
      <c r="L5" s="58">
        <f>IF($B5="","",IF(F5="","",IFERROR(ROUND(IF('دليل المؤشرات'!$D$28="↓",MIN('دليل المؤشرات'!$F$28/F5,1),IF('دليل المؤشرات'!$D$28="★",F5/10,MIN(F5/'دليل المؤشرات'!$F$28,1)))*'دليل المؤشرات'!$E$28,1),0)))</f>
        <v>10.7</v>
      </c>
      <c r="M5" s="58">
        <f>IF($B5="","",IF(G5="","",IFERROR(ROUND(IF('دليل المؤشرات'!$D$29="↓",MIN('دليل المؤشرات'!$F$29/G5,1),IF('دليل المؤشرات'!$D$29="★",G5/10,MIN(G5/'دليل المؤشرات'!$F$29,1)))*'دليل المؤشرات'!$E$29,1),0)))</f>
        <v>7.6</v>
      </c>
      <c r="N5" s="58">
        <f>IF($B5="","",IF(H5="","",IFERROR(ROUND(IF('دليل المؤشرات'!$D$30="↓",MIN('دليل المؤشرات'!$F$30/H5,1),IF('دليل المؤشرات'!$D$30="★",H5/10,MIN(H5/'دليل المؤشرات'!$F$30,1)))*'دليل المؤشرات'!$E$30,1),0)))</f>
        <v>7.9</v>
      </c>
      <c r="O5" s="59">
        <f t="shared" si="0"/>
        <v>75.8</v>
      </c>
      <c r="P5" s="39" t="str">
        <f t="shared" si="1"/>
        <v>يفوق التوقعات</v>
      </c>
    </row>
    <row r="6" spans="1:16" ht="21" customHeight="1" x14ac:dyDescent="0.45">
      <c r="A6" s="55">
        <v>3</v>
      </c>
      <c r="B6" s="56" t="s">
        <v>191</v>
      </c>
      <c r="C6" s="57">
        <v>64</v>
      </c>
      <c r="D6" s="57">
        <v>64</v>
      </c>
      <c r="E6" s="57">
        <v>75</v>
      </c>
      <c r="F6" s="57">
        <v>2.6</v>
      </c>
      <c r="G6" s="57">
        <v>37</v>
      </c>
      <c r="H6" s="57">
        <v>140</v>
      </c>
      <c r="I6" s="58">
        <f>IF($B6="","",IF(C6="","",IFERROR(ROUND(IF('دليل المؤشرات'!$D$25="↓",MIN('دليل المؤشرات'!$F$25/C6,1),IF('دليل المؤشرات'!$D$25="★",C6/10,MIN(C6/'دليل المؤشرات'!$F$25,1)))*'دليل المؤشرات'!$E$25,1),0)))</f>
        <v>18.8</v>
      </c>
      <c r="J6" s="58">
        <f>IF($B6="","",IF(D6="","",IFERROR(ROUND(IF('دليل المؤشرات'!$D$26="↓",MIN('دليل المؤشرات'!$F$26/D6,1),IF('دليل المؤشرات'!$D$26="★",D6/10,MIN(D6/'دليل المؤشرات'!$F$26,1)))*'دليل المؤشرات'!$E$26,1),0)))</f>
        <v>16</v>
      </c>
      <c r="K6" s="58">
        <f>IF($B6="","",IF(E6="","",IFERROR(ROUND(IF('دليل المؤشرات'!$D$27="↓",MIN('دليل المؤشرات'!$F$27/E6,1),IF('دليل المؤشرات'!$D$27="★",E6/10,MIN(E6/'دليل المؤشرات'!$F$27,1)))*'دليل المؤشرات'!$E$27,1),0)))</f>
        <v>16.7</v>
      </c>
      <c r="L6" s="58">
        <f>IF($B6="","",IF(F6="","",IFERROR(ROUND(IF('دليل المؤشرات'!$D$28="↓",MIN('دليل المؤشرات'!$F$28/F6,1),IF('دليل المؤشرات'!$D$28="★",F6/10,MIN(F6/'دليل المؤشرات'!$F$28,1)))*'دليل المؤشرات'!$E$28,1),0)))</f>
        <v>11.5</v>
      </c>
      <c r="M6" s="58">
        <f>IF($B6="","",IF(G6="","",IFERROR(ROUND(IF('دليل المؤشرات'!$D$29="↓",MIN('دليل المؤشرات'!$F$29/G6,1),IF('دليل المؤشرات'!$D$29="★",G6/10,MIN(G6/'دليل المؤشرات'!$F$29,1)))*'دليل المؤشرات'!$E$29,1),0)))</f>
        <v>7.4</v>
      </c>
      <c r="N6" s="58">
        <f>IF($B6="","",IF(H6="","",IFERROR(ROUND(IF('دليل المؤشرات'!$D$30="↓",MIN('دليل المؤشرات'!$F$30/H6,1),IF('دليل المؤشرات'!$D$30="★",H6/10,MIN(H6/'دليل المؤشرات'!$F$30,1)))*'دليل المؤشرات'!$E$30,1),0)))</f>
        <v>7</v>
      </c>
      <c r="O6" s="59">
        <f t="shared" si="0"/>
        <v>77.400000000000006</v>
      </c>
      <c r="P6" s="35" t="str">
        <f t="shared" si="1"/>
        <v>يفوق التوقعات</v>
      </c>
    </row>
    <row r="7" spans="1:16" ht="21" customHeight="1" x14ac:dyDescent="0.45">
      <c r="A7" s="60">
        <v>4</v>
      </c>
      <c r="B7" s="61" t="s">
        <v>192</v>
      </c>
      <c r="C7" s="57">
        <v>58</v>
      </c>
      <c r="D7" s="57">
        <v>60</v>
      </c>
      <c r="E7" s="57">
        <v>68</v>
      </c>
      <c r="F7" s="57">
        <v>3.2</v>
      </c>
      <c r="G7" s="57">
        <v>32</v>
      </c>
      <c r="H7" s="57">
        <v>146</v>
      </c>
      <c r="I7" s="58">
        <f>IF($B7="","",IF(C7="","",IFERROR(ROUND(IF('دليل المؤشرات'!$D$25="↓",MIN('دليل المؤشرات'!$F$25/C7,1),IF('دليل المؤشرات'!$D$25="★",C7/10,MIN(C7/'دليل المؤشرات'!$F$25,1)))*'دليل المؤشرات'!$E$25,1),0)))</f>
        <v>17.100000000000001</v>
      </c>
      <c r="J7" s="58">
        <f>IF($B7="","",IF(D7="","",IFERROR(ROUND(IF('دليل المؤشرات'!$D$26="↓",MIN('دليل المؤشرات'!$F$26/D7,1),IF('دليل المؤشرات'!$D$26="★",D7/10,MIN(D7/'دليل المؤشرات'!$F$26,1)))*'دليل المؤشرات'!$E$26,1),0)))</f>
        <v>15</v>
      </c>
      <c r="K7" s="58">
        <f>IF($B7="","",IF(E7="","",IFERROR(ROUND(IF('دليل المؤشرات'!$D$27="↓",MIN('دليل المؤشرات'!$F$27/E7,1),IF('دليل المؤشرات'!$D$27="★",E7/10,MIN(E7/'دليل المؤشرات'!$F$27,1)))*'دليل المؤشرات'!$E$27,1),0)))</f>
        <v>15.1</v>
      </c>
      <c r="L7" s="58">
        <f>IF($B7="","",IF(F7="","",IFERROR(ROUND(IF('دليل المؤشرات'!$D$28="↓",MIN('دليل المؤشرات'!$F$28/F7,1),IF('دليل المؤشرات'!$D$28="★",F7/10,MIN(F7/'دليل المؤشرات'!$F$28,1)))*'دليل المؤشرات'!$E$28,1),0)))</f>
        <v>9.4</v>
      </c>
      <c r="M7" s="58">
        <f>IF($B7="","",IF(G7="","",IFERROR(ROUND(IF('دليل المؤشرات'!$D$29="↓",MIN('دليل المؤشرات'!$F$29/G7,1),IF('دليل المؤشرات'!$D$29="★",G7/10,MIN(G7/'دليل المؤشرات'!$F$29,1)))*'دليل المؤشرات'!$E$29,1),0)))</f>
        <v>6.4</v>
      </c>
      <c r="N7" s="58">
        <f>IF($B7="","",IF(H7="","",IFERROR(ROUND(IF('دليل المؤشرات'!$D$30="↓",MIN('دليل المؤشرات'!$F$30/H7,1),IF('دليل المؤشرات'!$D$30="★",H7/10,MIN(H7/'دليل المؤشرات'!$F$30,1)))*'دليل المؤشرات'!$E$30,1),0)))</f>
        <v>7.3</v>
      </c>
      <c r="O7" s="59">
        <f t="shared" si="0"/>
        <v>70.3</v>
      </c>
      <c r="P7" s="39" t="str">
        <f t="shared" si="1"/>
        <v>يلبّي التوقعات</v>
      </c>
    </row>
    <row r="8" spans="1:16" ht="21" customHeight="1" x14ac:dyDescent="0.45">
      <c r="A8" s="55">
        <v>5</v>
      </c>
      <c r="B8" s="56" t="s">
        <v>193</v>
      </c>
      <c r="C8" s="57">
        <v>66</v>
      </c>
      <c r="D8" s="57">
        <v>72</v>
      </c>
      <c r="E8" s="57">
        <v>76</v>
      </c>
      <c r="F8" s="57">
        <v>2.2000000000000002</v>
      </c>
      <c r="G8" s="57">
        <v>44</v>
      </c>
      <c r="H8" s="57">
        <v>159</v>
      </c>
      <c r="I8" s="58">
        <f>IF($B8="","",IF(C8="","",IFERROR(ROUND(IF('دليل المؤشرات'!$D$25="↓",MIN('دليل المؤشرات'!$F$25/C8,1),IF('دليل المؤشرات'!$D$25="★",C8/10,MIN(C8/'دليل المؤشرات'!$F$25,1)))*'دليل المؤشرات'!$E$25,1),0)))</f>
        <v>19.399999999999999</v>
      </c>
      <c r="J8" s="58">
        <f>IF($B8="","",IF(D8="","",IFERROR(ROUND(IF('دليل المؤشرات'!$D$26="↓",MIN('دليل المؤشرات'!$F$26/D8,1),IF('دليل المؤشرات'!$D$26="★",D8/10,MIN(D8/'دليل المؤشرات'!$F$26,1)))*'دليل المؤشرات'!$E$26,1),0)))</f>
        <v>18</v>
      </c>
      <c r="K8" s="58">
        <f>IF($B8="","",IF(E8="","",IFERROR(ROUND(IF('دليل المؤشرات'!$D$27="↓",MIN('دليل المؤشرات'!$F$27/E8,1),IF('دليل المؤشرات'!$D$27="★",E8/10,MIN(E8/'دليل المؤشرات'!$F$27,1)))*'دليل المؤشرات'!$E$27,1),0)))</f>
        <v>16.899999999999999</v>
      </c>
      <c r="L8" s="58">
        <f>IF($B8="","",IF(F8="","",IFERROR(ROUND(IF('دليل المؤشرات'!$D$28="↓",MIN('دليل المؤشرات'!$F$28/F8,1),IF('دليل المؤشرات'!$D$28="★",F8/10,MIN(F8/'دليل المؤشرات'!$F$28,1)))*'دليل المؤشرات'!$E$28,1),0)))</f>
        <v>13.6</v>
      </c>
      <c r="M8" s="58">
        <f>IF($B8="","",IF(G8="","",IFERROR(ROUND(IF('دليل المؤشرات'!$D$29="↓",MIN('دليل المؤشرات'!$F$29/G8,1),IF('دليل المؤشرات'!$D$29="★",G8/10,MIN(G8/'دليل المؤشرات'!$F$29,1)))*'دليل المؤشرات'!$E$29,1),0)))</f>
        <v>8.8000000000000007</v>
      </c>
      <c r="N8" s="58">
        <f>IF($B8="","",IF(H8="","",IFERROR(ROUND(IF('دليل المؤشرات'!$D$30="↓",MIN('دليل المؤشرات'!$F$30/H8,1),IF('دليل المؤشرات'!$D$30="★",H8/10,MIN(H8/'دليل المؤشرات'!$F$30,1)))*'دليل المؤشرات'!$E$30,1),0)))</f>
        <v>8</v>
      </c>
      <c r="O8" s="59">
        <f t="shared" si="0"/>
        <v>84.7</v>
      </c>
      <c r="P8" s="35" t="str">
        <f t="shared" si="1"/>
        <v>يفوق التوقعات</v>
      </c>
    </row>
    <row r="9" spans="1:16" ht="21" customHeight="1" x14ac:dyDescent="0.45">
      <c r="A9" s="60">
        <v>6</v>
      </c>
      <c r="B9" s="61" t="s">
        <v>194</v>
      </c>
      <c r="C9" s="57">
        <v>74</v>
      </c>
      <c r="D9" s="57">
        <v>77</v>
      </c>
      <c r="E9" s="57">
        <v>86</v>
      </c>
      <c r="F9" s="57">
        <v>2.2000000000000002</v>
      </c>
      <c r="G9" s="57">
        <v>45</v>
      </c>
      <c r="H9" s="57">
        <v>187</v>
      </c>
      <c r="I9" s="58">
        <f>IF($B9="","",IF(C9="","",IFERROR(ROUND(IF('دليل المؤشرات'!$D$25="↓",MIN('دليل المؤشرات'!$F$25/C9,1),IF('دليل المؤشرات'!$D$25="★",C9/10,MIN(C9/'دليل المؤشرات'!$F$25,1)))*'دليل المؤشرات'!$E$25,1),0)))</f>
        <v>21.8</v>
      </c>
      <c r="J9" s="58">
        <f>IF($B9="","",IF(D9="","",IFERROR(ROUND(IF('دليل المؤشرات'!$D$26="↓",MIN('دليل المؤشرات'!$F$26/D9,1),IF('دليل المؤشرات'!$D$26="★",D9/10,MIN(D9/'دليل المؤشرات'!$F$26,1)))*'دليل المؤشرات'!$E$26,1),0)))</f>
        <v>19.3</v>
      </c>
      <c r="K9" s="58">
        <f>IF($B9="","",IF(E9="","",IFERROR(ROUND(IF('دليل المؤشرات'!$D$27="↓",MIN('دليل المؤشرات'!$F$27/E9,1),IF('دليل المؤشرات'!$D$27="★",E9/10,MIN(E9/'دليل المؤشرات'!$F$27,1)))*'دليل المؤشرات'!$E$27,1),0)))</f>
        <v>19.100000000000001</v>
      </c>
      <c r="L9" s="58">
        <f>IF($B9="","",IF(F9="","",IFERROR(ROUND(IF('دليل المؤشرات'!$D$28="↓",MIN('دليل المؤشرات'!$F$28/F9,1),IF('دليل المؤشرات'!$D$28="★",F9/10,MIN(F9/'دليل المؤشرات'!$F$28,1)))*'دليل المؤشرات'!$E$28,1),0)))</f>
        <v>13.6</v>
      </c>
      <c r="M9" s="58">
        <f>IF($B9="","",IF(G9="","",IFERROR(ROUND(IF('دليل المؤشرات'!$D$29="↓",MIN('دليل المؤشرات'!$F$29/G9,1),IF('دليل المؤشرات'!$D$29="★",G9/10,MIN(G9/'دليل المؤشرات'!$F$29,1)))*'دليل المؤشرات'!$E$29,1),0)))</f>
        <v>9</v>
      </c>
      <c r="N9" s="58">
        <f>IF($B9="","",IF(H9="","",IFERROR(ROUND(IF('دليل المؤشرات'!$D$30="↓",MIN('دليل المؤشرات'!$F$30/H9,1),IF('دليل المؤشرات'!$D$30="★",H9/10,MIN(H9/'دليل المؤشرات'!$F$30,1)))*'دليل المؤشرات'!$E$30,1),0)))</f>
        <v>9.4</v>
      </c>
      <c r="O9" s="59">
        <f t="shared" si="0"/>
        <v>92.2</v>
      </c>
      <c r="P9" s="39" t="str">
        <f t="shared" si="1"/>
        <v>أداء متميز</v>
      </c>
    </row>
    <row r="10" spans="1:16" ht="21" customHeight="1" x14ac:dyDescent="0.45">
      <c r="A10" s="55">
        <v>7</v>
      </c>
      <c r="B10" s="56" t="s">
        <v>195</v>
      </c>
      <c r="C10" s="57">
        <v>65</v>
      </c>
      <c r="D10" s="57">
        <v>51</v>
      </c>
      <c r="E10" s="57">
        <v>67</v>
      </c>
      <c r="F10" s="57">
        <v>2.6</v>
      </c>
      <c r="G10" s="57">
        <v>33</v>
      </c>
      <c r="H10" s="57">
        <v>155</v>
      </c>
      <c r="I10" s="58">
        <f>IF($B10="","",IF(C10="","",IFERROR(ROUND(IF('دليل المؤشرات'!$D$25="↓",MIN('دليل المؤشرات'!$F$25/C10,1),IF('دليل المؤشرات'!$D$25="★",C10/10,MIN(C10/'دليل المؤشرات'!$F$25,1)))*'دليل المؤشرات'!$E$25,1),0)))</f>
        <v>19.100000000000001</v>
      </c>
      <c r="J10" s="58">
        <f>IF($B10="","",IF(D10="","",IFERROR(ROUND(IF('دليل المؤشرات'!$D$26="↓",MIN('دليل المؤشرات'!$F$26/D10,1),IF('دليل المؤشرات'!$D$26="★",D10/10,MIN(D10/'دليل المؤشرات'!$F$26,1)))*'دليل المؤشرات'!$E$26,1),0)))</f>
        <v>12.8</v>
      </c>
      <c r="K10" s="58">
        <f>IF($B10="","",IF(E10="","",IFERROR(ROUND(IF('دليل المؤشرات'!$D$27="↓",MIN('دليل المؤشرات'!$F$27/E10,1),IF('دليل المؤشرات'!$D$27="★",E10/10,MIN(E10/'دليل المؤشرات'!$F$27,1)))*'دليل المؤشرات'!$E$27,1),0)))</f>
        <v>14.9</v>
      </c>
      <c r="L10" s="58">
        <f>IF($B10="","",IF(F10="","",IFERROR(ROUND(IF('دليل المؤشرات'!$D$28="↓",MIN('دليل المؤشرات'!$F$28/F10,1),IF('دليل المؤشرات'!$D$28="★",F10/10,MIN(F10/'دليل المؤشرات'!$F$28,1)))*'دليل المؤشرات'!$E$28,1),0)))</f>
        <v>11.5</v>
      </c>
      <c r="M10" s="58">
        <f>IF($B10="","",IF(G10="","",IFERROR(ROUND(IF('دليل المؤشرات'!$D$29="↓",MIN('دليل المؤشرات'!$F$29/G10,1),IF('دليل المؤشرات'!$D$29="★",G10/10,MIN(G10/'دليل المؤشرات'!$F$29,1)))*'دليل المؤشرات'!$E$29,1),0)))</f>
        <v>6.6</v>
      </c>
      <c r="N10" s="58">
        <f>IF($B10="","",IF(H10="","",IFERROR(ROUND(IF('دليل المؤشرات'!$D$30="↓",MIN('دليل المؤشرات'!$F$30/H10,1),IF('دليل المؤشرات'!$D$30="★",H10/10,MIN(H10/'دليل المؤشرات'!$F$30,1)))*'دليل المؤشرات'!$E$30,1),0)))</f>
        <v>7.8</v>
      </c>
      <c r="O10" s="59">
        <f t="shared" si="0"/>
        <v>72.7</v>
      </c>
      <c r="P10" s="35" t="str">
        <f t="shared" si="1"/>
        <v>يلبّي التوقعات</v>
      </c>
    </row>
    <row r="11" spans="1:16" ht="21" customHeight="1" x14ac:dyDescent="0.45">
      <c r="A11" s="60">
        <v>8</v>
      </c>
      <c r="B11" s="61" t="s">
        <v>196</v>
      </c>
      <c r="C11" s="57">
        <v>62</v>
      </c>
      <c r="D11" s="57">
        <v>58</v>
      </c>
      <c r="E11" s="57">
        <v>74</v>
      </c>
      <c r="F11" s="57">
        <v>2.6</v>
      </c>
      <c r="G11" s="57">
        <v>36</v>
      </c>
      <c r="H11" s="57">
        <v>146</v>
      </c>
      <c r="I11" s="58">
        <f>IF($B11="","",IF(C11="","",IFERROR(ROUND(IF('دليل المؤشرات'!$D$25="↓",MIN('دليل المؤشرات'!$F$25/C11,1),IF('دليل المؤشرات'!$D$25="★",C11/10,MIN(C11/'دليل المؤشرات'!$F$25,1)))*'دليل المؤشرات'!$E$25,1),0)))</f>
        <v>18.2</v>
      </c>
      <c r="J11" s="58">
        <f>IF($B11="","",IF(D11="","",IFERROR(ROUND(IF('دليل المؤشرات'!$D$26="↓",MIN('دليل المؤشرات'!$F$26/D11,1),IF('دليل المؤشرات'!$D$26="★",D11/10,MIN(D11/'دليل المؤشرات'!$F$26,1)))*'دليل المؤشرات'!$E$26,1),0)))</f>
        <v>14.5</v>
      </c>
      <c r="K11" s="58">
        <f>IF($B11="","",IF(E11="","",IFERROR(ROUND(IF('دليل المؤشرات'!$D$27="↓",MIN('دليل المؤشرات'!$F$27/E11,1),IF('دليل المؤشرات'!$D$27="★",E11/10,MIN(E11/'دليل المؤشرات'!$F$27,1)))*'دليل المؤشرات'!$E$27,1),0)))</f>
        <v>16.399999999999999</v>
      </c>
      <c r="L11" s="58">
        <f>IF($B11="","",IF(F11="","",IFERROR(ROUND(IF('دليل المؤشرات'!$D$28="↓",MIN('دليل المؤشرات'!$F$28/F11,1),IF('دليل المؤشرات'!$D$28="★",F11/10,MIN(F11/'دليل المؤشرات'!$F$28,1)))*'دليل المؤشرات'!$E$28,1),0)))</f>
        <v>11.5</v>
      </c>
      <c r="M11" s="58">
        <f>IF($B11="","",IF(G11="","",IFERROR(ROUND(IF('دليل المؤشرات'!$D$29="↓",MIN('دليل المؤشرات'!$F$29/G11,1),IF('دليل المؤشرات'!$D$29="★",G11/10,MIN(G11/'دليل المؤشرات'!$F$29,1)))*'دليل المؤشرات'!$E$29,1),0)))</f>
        <v>7.2</v>
      </c>
      <c r="N11" s="58">
        <f>IF($B11="","",IF(H11="","",IFERROR(ROUND(IF('دليل المؤشرات'!$D$30="↓",MIN('دليل المؤشرات'!$F$30/H11,1),IF('دليل المؤشرات'!$D$30="★",H11/10,MIN(H11/'دليل المؤشرات'!$F$30,1)))*'دليل المؤشرات'!$E$30,1),0)))</f>
        <v>7.3</v>
      </c>
      <c r="O11" s="59">
        <f t="shared" si="0"/>
        <v>75.099999999999994</v>
      </c>
      <c r="P11" s="39" t="str">
        <f t="shared" si="1"/>
        <v>يفوق التوقعات</v>
      </c>
    </row>
    <row r="12" spans="1:16" ht="21" customHeight="1" x14ac:dyDescent="0.45">
      <c r="A12" s="55">
        <v>9</v>
      </c>
      <c r="B12" s="56" t="s">
        <v>197</v>
      </c>
      <c r="C12" s="57">
        <v>40</v>
      </c>
      <c r="D12" s="57">
        <v>36</v>
      </c>
      <c r="E12" s="57">
        <v>46</v>
      </c>
      <c r="F12" s="57">
        <v>3.9</v>
      </c>
      <c r="G12" s="57">
        <v>23</v>
      </c>
      <c r="H12" s="57">
        <v>108</v>
      </c>
      <c r="I12" s="58">
        <f>IF($B12="","",IF(C12="","",IFERROR(ROUND(IF('دليل المؤشرات'!$D$25="↓",MIN('دليل المؤشرات'!$F$25/C12,1),IF('دليل المؤشرات'!$D$25="★",C12/10,MIN(C12/'دليل المؤشرات'!$F$25,1)))*'دليل المؤشرات'!$E$25,1),0)))</f>
        <v>11.8</v>
      </c>
      <c r="J12" s="58">
        <f>IF($B12="","",IF(D12="","",IFERROR(ROUND(IF('دليل المؤشرات'!$D$26="↓",MIN('دليل المؤشرات'!$F$26/D12,1),IF('دليل المؤشرات'!$D$26="★",D12/10,MIN(D12/'دليل المؤشرات'!$F$26,1)))*'دليل المؤشرات'!$E$26,1),0)))</f>
        <v>9</v>
      </c>
      <c r="K12" s="58">
        <f>IF($B12="","",IF(E12="","",IFERROR(ROUND(IF('دليل المؤشرات'!$D$27="↓",MIN('دليل المؤشرات'!$F$27/E12,1),IF('دليل المؤشرات'!$D$27="★",E12/10,MIN(E12/'دليل المؤشرات'!$F$27,1)))*'دليل المؤشرات'!$E$27,1),0)))</f>
        <v>10.199999999999999</v>
      </c>
      <c r="L12" s="58">
        <f>IF($B12="","",IF(F12="","",IFERROR(ROUND(IF('دليل المؤشرات'!$D$28="↓",MIN('دليل المؤشرات'!$F$28/F12,1),IF('دليل المؤشرات'!$D$28="★",F12/10,MIN(F12/'دليل المؤشرات'!$F$28,1)))*'دليل المؤشرات'!$E$28,1),0)))</f>
        <v>7.7</v>
      </c>
      <c r="M12" s="58">
        <f>IF($B12="","",IF(G12="","",IFERROR(ROUND(IF('دليل المؤشرات'!$D$29="↓",MIN('دليل المؤشرات'!$F$29/G12,1),IF('دليل المؤشرات'!$D$29="★",G12/10,MIN(G12/'دليل المؤشرات'!$F$29,1)))*'دليل المؤشرات'!$E$29,1),0)))</f>
        <v>4.5999999999999996</v>
      </c>
      <c r="N12" s="58">
        <f>IF($B12="","",IF(H12="","",IFERROR(ROUND(IF('دليل المؤشرات'!$D$30="↓",MIN('دليل المؤشرات'!$F$30/H12,1),IF('دليل المؤشرات'!$D$30="★",H12/10,MIN(H12/'دليل المؤشرات'!$F$30,1)))*'دليل المؤشرات'!$E$30,1),0)))</f>
        <v>5.4</v>
      </c>
      <c r="O12" s="59">
        <f t="shared" si="0"/>
        <v>48.7</v>
      </c>
      <c r="P12" s="35" t="str">
        <f t="shared" si="1"/>
        <v>يحتاج تطوير</v>
      </c>
    </row>
    <row r="13" spans="1:16" ht="21" customHeight="1" x14ac:dyDescent="0.45">
      <c r="A13" s="60">
        <v>10</v>
      </c>
      <c r="B13" s="61" t="s">
        <v>198</v>
      </c>
      <c r="C13" s="57">
        <v>64</v>
      </c>
      <c r="D13" s="57">
        <v>59</v>
      </c>
      <c r="E13" s="57">
        <v>64</v>
      </c>
      <c r="F13" s="57">
        <v>2.7</v>
      </c>
      <c r="G13" s="57">
        <v>38</v>
      </c>
      <c r="H13" s="57">
        <v>141</v>
      </c>
      <c r="I13" s="58">
        <f>IF($B13="","",IF(C13="","",IFERROR(ROUND(IF('دليل المؤشرات'!$D$25="↓",MIN('دليل المؤشرات'!$F$25/C13,1),IF('دليل المؤشرات'!$D$25="★",C13/10,MIN(C13/'دليل المؤشرات'!$F$25,1)))*'دليل المؤشرات'!$E$25,1),0)))</f>
        <v>18.8</v>
      </c>
      <c r="J13" s="58">
        <f>IF($B13="","",IF(D13="","",IFERROR(ROUND(IF('دليل المؤشرات'!$D$26="↓",MIN('دليل المؤشرات'!$F$26/D13,1),IF('دليل المؤشرات'!$D$26="★",D13/10,MIN(D13/'دليل المؤشرات'!$F$26,1)))*'دليل المؤشرات'!$E$26,1),0)))</f>
        <v>14.8</v>
      </c>
      <c r="K13" s="58">
        <f>IF($B13="","",IF(E13="","",IFERROR(ROUND(IF('دليل المؤشرات'!$D$27="↓",MIN('دليل المؤشرات'!$F$27/E13,1),IF('دليل المؤشرات'!$D$27="★",E13/10,MIN(E13/'دليل المؤشرات'!$F$27,1)))*'دليل المؤشرات'!$E$27,1),0)))</f>
        <v>14.2</v>
      </c>
      <c r="L13" s="58">
        <f>IF($B13="","",IF(F13="","",IFERROR(ROUND(IF('دليل المؤشرات'!$D$28="↓",MIN('دليل المؤشرات'!$F$28/F13,1),IF('دليل المؤشرات'!$D$28="★",F13/10,MIN(F13/'دليل المؤشرات'!$F$28,1)))*'دليل المؤشرات'!$E$28,1),0)))</f>
        <v>11.1</v>
      </c>
      <c r="M13" s="58">
        <f>IF($B13="","",IF(G13="","",IFERROR(ROUND(IF('دليل المؤشرات'!$D$29="↓",MIN('دليل المؤشرات'!$F$29/G13,1),IF('دليل المؤشرات'!$D$29="★",G13/10,MIN(G13/'دليل المؤشرات'!$F$29,1)))*'دليل المؤشرات'!$E$29,1),0)))</f>
        <v>7.6</v>
      </c>
      <c r="N13" s="58">
        <f>IF($B13="","",IF(H13="","",IFERROR(ROUND(IF('دليل المؤشرات'!$D$30="↓",MIN('دليل المؤشرات'!$F$30/H13,1),IF('دليل المؤشرات'!$D$30="★",H13/10,MIN(H13/'دليل المؤشرات'!$F$30,1)))*'دليل المؤشرات'!$E$30,1),0)))</f>
        <v>7.1</v>
      </c>
      <c r="O13" s="59">
        <f t="shared" si="0"/>
        <v>73.599999999999994</v>
      </c>
      <c r="P13" s="39" t="str">
        <f t="shared" si="1"/>
        <v>يلبّي التوقعات</v>
      </c>
    </row>
    <row r="14" spans="1:16" ht="21" customHeight="1" x14ac:dyDescent="0.45">
      <c r="A14" s="55">
        <v>11</v>
      </c>
      <c r="B14" s="56" t="s">
        <v>199</v>
      </c>
      <c r="C14" s="57">
        <v>81</v>
      </c>
      <c r="D14" s="57">
        <v>69</v>
      </c>
      <c r="E14" s="57">
        <v>80</v>
      </c>
      <c r="F14" s="57">
        <v>2.5</v>
      </c>
      <c r="G14" s="57">
        <v>47</v>
      </c>
      <c r="H14" s="57">
        <v>174</v>
      </c>
      <c r="I14" s="58">
        <f>IF($B14="","",IF(C14="","",IFERROR(ROUND(IF('دليل المؤشرات'!$D$25="↓",MIN('دليل المؤشرات'!$F$25/C14,1),IF('دليل المؤشرات'!$D$25="★",C14/10,MIN(C14/'دليل المؤشرات'!$F$25,1)))*'دليل المؤشرات'!$E$25,1),0)))</f>
        <v>23.8</v>
      </c>
      <c r="J14" s="58">
        <f>IF($B14="","",IF(D14="","",IFERROR(ROUND(IF('دليل المؤشرات'!$D$26="↓",MIN('دليل المؤشرات'!$F$26/D14,1),IF('دليل المؤشرات'!$D$26="★",D14/10,MIN(D14/'دليل المؤشرات'!$F$26,1)))*'دليل المؤشرات'!$E$26,1),0)))</f>
        <v>17.3</v>
      </c>
      <c r="K14" s="58">
        <f>IF($B14="","",IF(E14="","",IFERROR(ROUND(IF('دليل المؤشرات'!$D$27="↓",MIN('دليل المؤشرات'!$F$27/E14,1),IF('دليل المؤشرات'!$D$27="★",E14/10,MIN(E14/'دليل المؤشرات'!$F$27,1)))*'دليل المؤشرات'!$E$27,1),0)))</f>
        <v>17.8</v>
      </c>
      <c r="L14" s="58">
        <f>IF($B14="","",IF(F14="","",IFERROR(ROUND(IF('دليل المؤشرات'!$D$28="↓",MIN('دليل المؤشرات'!$F$28/F14,1),IF('دليل المؤشرات'!$D$28="★",F14/10,MIN(F14/'دليل المؤشرات'!$F$28,1)))*'دليل المؤشرات'!$E$28,1),0)))</f>
        <v>12</v>
      </c>
      <c r="M14" s="58">
        <f>IF($B14="","",IF(G14="","",IFERROR(ROUND(IF('دليل المؤشرات'!$D$29="↓",MIN('دليل المؤشرات'!$F$29/G14,1),IF('دليل المؤشرات'!$D$29="★",G14/10,MIN(G14/'دليل المؤشرات'!$F$29,1)))*'دليل المؤشرات'!$E$29,1),0)))</f>
        <v>9.4</v>
      </c>
      <c r="N14" s="58">
        <f>IF($B14="","",IF(H14="","",IFERROR(ROUND(IF('دليل المؤشرات'!$D$30="↓",MIN('دليل المؤشرات'!$F$30/H14,1),IF('دليل المؤشرات'!$D$30="★",H14/10,MIN(H14/'دليل المؤشرات'!$F$30,1)))*'دليل المؤشرات'!$E$30,1),0)))</f>
        <v>8.6999999999999993</v>
      </c>
      <c r="O14" s="59">
        <f t="shared" si="0"/>
        <v>89</v>
      </c>
      <c r="P14" s="35" t="str">
        <f t="shared" si="1"/>
        <v>يفوق التوقعات</v>
      </c>
    </row>
    <row r="15" spans="1:16" ht="21" customHeight="1" x14ac:dyDescent="0.45">
      <c r="A15" s="60">
        <v>12</v>
      </c>
      <c r="B15" s="61" t="s">
        <v>200</v>
      </c>
      <c r="C15" s="57">
        <v>82</v>
      </c>
      <c r="D15" s="57">
        <v>75</v>
      </c>
      <c r="E15" s="57">
        <v>84</v>
      </c>
      <c r="F15" s="57">
        <v>1.9</v>
      </c>
      <c r="G15" s="57">
        <v>51</v>
      </c>
      <c r="H15" s="57">
        <v>194</v>
      </c>
      <c r="I15" s="58">
        <f>IF($B15="","",IF(C15="","",IFERROR(ROUND(IF('دليل المؤشرات'!$D$25="↓",MIN('دليل المؤشرات'!$F$25/C15,1),IF('دليل المؤشرات'!$D$25="★",C15/10,MIN(C15/'دليل المؤشرات'!$F$25,1)))*'دليل المؤشرات'!$E$25,1),0)))</f>
        <v>24.1</v>
      </c>
      <c r="J15" s="58">
        <f>IF($B15="","",IF(D15="","",IFERROR(ROUND(IF('دليل المؤشرات'!$D$26="↓",MIN('دليل المؤشرات'!$F$26/D15,1),IF('دليل المؤشرات'!$D$26="★",D15/10,MIN(D15/'دليل المؤشرات'!$F$26,1)))*'دليل المؤشرات'!$E$26,1),0)))</f>
        <v>18.8</v>
      </c>
      <c r="K15" s="58">
        <f>IF($B15="","",IF(E15="","",IFERROR(ROUND(IF('دليل المؤشرات'!$D$27="↓",MIN('دليل المؤشرات'!$F$27/E15,1),IF('دليل المؤشرات'!$D$27="★",E15/10,MIN(E15/'دليل المؤشرات'!$F$27,1)))*'دليل المؤشرات'!$E$27,1),0)))</f>
        <v>18.7</v>
      </c>
      <c r="L15" s="58">
        <f>IF($B15="","",IF(F15="","",IFERROR(ROUND(IF('دليل المؤشرات'!$D$28="↓",MIN('دليل المؤشرات'!$F$28/F15,1),IF('دليل المؤشرات'!$D$28="★",F15/10,MIN(F15/'دليل المؤشرات'!$F$28,1)))*'دليل المؤشرات'!$E$28,1),0)))</f>
        <v>15</v>
      </c>
      <c r="M15" s="58">
        <f>IF($B15="","",IF(G15="","",IFERROR(ROUND(IF('دليل المؤشرات'!$D$29="↓",MIN('دليل المؤشرات'!$F$29/G15,1),IF('دليل المؤشرات'!$D$29="★",G15/10,MIN(G15/'دليل المؤشرات'!$F$29,1)))*'دليل المؤشرات'!$E$29,1),0)))</f>
        <v>10</v>
      </c>
      <c r="N15" s="58">
        <f>IF($B15="","",IF(H15="","",IFERROR(ROUND(IF('دليل المؤشرات'!$D$30="↓",MIN('دليل المؤشرات'!$F$30/H15,1),IF('دليل المؤشرات'!$D$30="★",H15/10,MIN(H15/'دليل المؤشرات'!$F$30,1)))*'دليل المؤشرات'!$E$30,1),0)))</f>
        <v>9.6999999999999993</v>
      </c>
      <c r="O15" s="59">
        <f t="shared" si="0"/>
        <v>96.3</v>
      </c>
      <c r="P15" s="39" t="str">
        <f t="shared" si="1"/>
        <v>أداء متميز</v>
      </c>
    </row>
    <row r="16" spans="1:16" ht="21" customHeight="1" x14ac:dyDescent="0.45">
      <c r="A16" s="55">
        <v>13</v>
      </c>
      <c r="B16" s="56" t="s">
        <v>201</v>
      </c>
      <c r="C16" s="57">
        <v>61</v>
      </c>
      <c r="D16" s="57">
        <v>59</v>
      </c>
      <c r="E16" s="57">
        <v>60</v>
      </c>
      <c r="F16" s="57">
        <v>2.7</v>
      </c>
      <c r="G16" s="57">
        <v>33</v>
      </c>
      <c r="H16" s="57">
        <v>143</v>
      </c>
      <c r="I16" s="58">
        <f>IF($B16="","",IF(C16="","",IFERROR(ROUND(IF('دليل المؤشرات'!$D$25="↓",MIN('دليل المؤشرات'!$F$25/C16,1),IF('دليل المؤشرات'!$D$25="★",C16/10,MIN(C16/'دليل المؤشرات'!$F$25,1)))*'دليل المؤشرات'!$E$25,1),0)))</f>
        <v>17.899999999999999</v>
      </c>
      <c r="J16" s="58">
        <f>IF($B16="","",IF(D16="","",IFERROR(ROUND(IF('دليل المؤشرات'!$D$26="↓",MIN('دليل المؤشرات'!$F$26/D16,1),IF('دليل المؤشرات'!$D$26="★",D16/10,MIN(D16/'دليل المؤشرات'!$F$26,1)))*'دليل المؤشرات'!$E$26,1),0)))</f>
        <v>14.8</v>
      </c>
      <c r="K16" s="58">
        <f>IF($B16="","",IF(E16="","",IFERROR(ROUND(IF('دليل المؤشرات'!$D$27="↓",MIN('دليل المؤشرات'!$F$27/E16,1),IF('دليل المؤشرات'!$D$27="★",E16/10,MIN(E16/'دليل المؤشرات'!$F$27,1)))*'دليل المؤشرات'!$E$27,1),0)))</f>
        <v>13.3</v>
      </c>
      <c r="L16" s="58">
        <f>IF($B16="","",IF(F16="","",IFERROR(ROUND(IF('دليل المؤشرات'!$D$28="↓",MIN('دليل المؤشرات'!$F$28/F16,1),IF('دليل المؤشرات'!$D$28="★",F16/10,MIN(F16/'دليل المؤشرات'!$F$28,1)))*'دليل المؤشرات'!$E$28,1),0)))</f>
        <v>11.1</v>
      </c>
      <c r="M16" s="58">
        <f>IF($B16="","",IF(G16="","",IFERROR(ROUND(IF('دليل المؤشرات'!$D$29="↓",MIN('دليل المؤشرات'!$F$29/G16,1),IF('دليل المؤشرات'!$D$29="★",G16/10,MIN(G16/'دليل المؤشرات'!$F$29,1)))*'دليل المؤشرات'!$E$29,1),0)))</f>
        <v>6.6</v>
      </c>
      <c r="N16" s="58">
        <f>IF($B16="","",IF(H16="","",IFERROR(ROUND(IF('دليل المؤشرات'!$D$30="↓",MIN('دليل المؤشرات'!$F$30/H16,1),IF('دليل المؤشرات'!$D$30="★",H16/10,MIN(H16/'دليل المؤشرات'!$F$30,1)))*'دليل المؤشرات'!$E$30,1),0)))</f>
        <v>7.2</v>
      </c>
      <c r="O16" s="59">
        <f t="shared" si="0"/>
        <v>70.900000000000006</v>
      </c>
      <c r="P16" s="35" t="str">
        <f t="shared" si="1"/>
        <v>يلبّي التوقعات</v>
      </c>
    </row>
    <row r="17" spans="1:16" ht="21" customHeight="1" x14ac:dyDescent="0.45">
      <c r="A17" s="60">
        <v>14</v>
      </c>
      <c r="B17" s="61" t="s">
        <v>202</v>
      </c>
      <c r="C17" s="57">
        <v>84</v>
      </c>
      <c r="D17" s="57">
        <v>71</v>
      </c>
      <c r="E17" s="57">
        <v>75</v>
      </c>
      <c r="F17" s="57">
        <v>2.4</v>
      </c>
      <c r="G17" s="57">
        <v>41</v>
      </c>
      <c r="H17" s="57">
        <v>173</v>
      </c>
      <c r="I17" s="58">
        <f>IF($B17="","",IF(C17="","",IFERROR(ROUND(IF('دليل المؤشرات'!$D$25="↓",MIN('دليل المؤشرات'!$F$25/C17,1),IF('دليل المؤشرات'!$D$25="★",C17/10,MIN(C17/'دليل المؤشرات'!$F$25,1)))*'دليل المؤشرات'!$E$25,1),0)))</f>
        <v>24.7</v>
      </c>
      <c r="J17" s="58">
        <f>IF($B17="","",IF(D17="","",IFERROR(ROUND(IF('دليل المؤشرات'!$D$26="↓",MIN('دليل المؤشرات'!$F$26/D17,1),IF('دليل المؤشرات'!$D$26="★",D17/10,MIN(D17/'دليل المؤشرات'!$F$26,1)))*'دليل المؤشرات'!$E$26,1),0)))</f>
        <v>17.8</v>
      </c>
      <c r="K17" s="58">
        <f>IF($B17="","",IF(E17="","",IFERROR(ROUND(IF('دليل المؤشرات'!$D$27="↓",MIN('دليل المؤشرات'!$F$27/E17,1),IF('دليل المؤشرات'!$D$27="★",E17/10,MIN(E17/'دليل المؤشرات'!$F$27,1)))*'دليل المؤشرات'!$E$27,1),0)))</f>
        <v>16.7</v>
      </c>
      <c r="L17" s="58">
        <f>IF($B17="","",IF(F17="","",IFERROR(ROUND(IF('دليل المؤشرات'!$D$28="↓",MIN('دليل المؤشرات'!$F$28/F17,1),IF('دليل المؤشرات'!$D$28="★",F17/10,MIN(F17/'دليل المؤشرات'!$F$28,1)))*'دليل المؤشرات'!$E$28,1),0)))</f>
        <v>12.5</v>
      </c>
      <c r="M17" s="58">
        <f>IF($B17="","",IF(G17="","",IFERROR(ROUND(IF('دليل المؤشرات'!$D$29="↓",MIN('دليل المؤشرات'!$F$29/G17,1),IF('دليل المؤشرات'!$D$29="★",G17/10,MIN(G17/'دليل المؤشرات'!$F$29,1)))*'دليل المؤشرات'!$E$29,1),0)))</f>
        <v>8.1999999999999993</v>
      </c>
      <c r="N17" s="58">
        <f>IF($B17="","",IF(H17="","",IFERROR(ROUND(IF('دليل المؤشرات'!$D$30="↓",MIN('دليل المؤشرات'!$F$30/H17,1),IF('دليل المؤشرات'!$D$30="★",H17/10,MIN(H17/'دليل المؤشرات'!$F$30,1)))*'دليل المؤشرات'!$E$30,1),0)))</f>
        <v>8.6999999999999993</v>
      </c>
      <c r="O17" s="59">
        <f t="shared" si="0"/>
        <v>88.6</v>
      </c>
      <c r="P17" s="39" t="str">
        <f t="shared" si="1"/>
        <v>يفوق التوقعات</v>
      </c>
    </row>
    <row r="18" spans="1:16" ht="21" customHeight="1" x14ac:dyDescent="0.45">
      <c r="A18" s="55">
        <v>15</v>
      </c>
      <c r="B18" s="56" t="s">
        <v>203</v>
      </c>
      <c r="C18" s="57">
        <v>51</v>
      </c>
      <c r="D18" s="57">
        <v>49</v>
      </c>
      <c r="E18" s="57">
        <v>58</v>
      </c>
      <c r="F18" s="57">
        <v>2.9</v>
      </c>
      <c r="G18" s="57">
        <v>34</v>
      </c>
      <c r="H18" s="57">
        <v>125</v>
      </c>
      <c r="I18" s="58">
        <f>IF($B18="","",IF(C18="","",IFERROR(ROUND(IF('دليل المؤشرات'!$D$25="↓",MIN('دليل المؤشرات'!$F$25/C18,1),IF('دليل المؤشرات'!$D$25="★",C18/10,MIN(C18/'دليل المؤشرات'!$F$25,1)))*'دليل المؤشرات'!$E$25,1),0)))</f>
        <v>15</v>
      </c>
      <c r="J18" s="58">
        <f>IF($B18="","",IF(D18="","",IFERROR(ROUND(IF('دليل المؤشرات'!$D$26="↓",MIN('دليل المؤشرات'!$F$26/D18,1),IF('دليل المؤشرات'!$D$26="★",D18/10,MIN(D18/'دليل المؤشرات'!$F$26,1)))*'دليل المؤشرات'!$E$26,1),0)))</f>
        <v>12.3</v>
      </c>
      <c r="K18" s="58">
        <f>IF($B18="","",IF(E18="","",IFERROR(ROUND(IF('دليل المؤشرات'!$D$27="↓",MIN('دليل المؤشرات'!$F$27/E18,1),IF('دليل المؤشرات'!$D$27="★",E18/10,MIN(E18/'دليل المؤشرات'!$F$27,1)))*'دليل المؤشرات'!$E$27,1),0)))</f>
        <v>12.9</v>
      </c>
      <c r="L18" s="58">
        <f>IF($B18="","",IF(F18="","",IFERROR(ROUND(IF('دليل المؤشرات'!$D$28="↓",MIN('دليل المؤشرات'!$F$28/F18,1),IF('دليل المؤشرات'!$D$28="★",F18/10,MIN(F18/'دليل المؤشرات'!$F$28,1)))*'دليل المؤشرات'!$E$28,1),0)))</f>
        <v>10.3</v>
      </c>
      <c r="M18" s="58">
        <f>IF($B18="","",IF(G18="","",IFERROR(ROUND(IF('دليل المؤشرات'!$D$29="↓",MIN('دليل المؤشرات'!$F$29/G18,1),IF('دليل المؤشرات'!$D$29="★",G18/10,MIN(G18/'دليل المؤشرات'!$F$29,1)))*'دليل المؤشرات'!$E$29,1),0)))</f>
        <v>6.8</v>
      </c>
      <c r="N18" s="58">
        <f>IF($B18="","",IF(H18="","",IFERROR(ROUND(IF('دليل المؤشرات'!$D$30="↓",MIN('دليل المؤشرات'!$F$30/H18,1),IF('دليل المؤشرات'!$D$30="★",H18/10,MIN(H18/'دليل المؤشرات'!$F$30,1)))*'دليل المؤشرات'!$E$30,1),0)))</f>
        <v>6.3</v>
      </c>
      <c r="O18" s="59">
        <f t="shared" si="0"/>
        <v>63.6</v>
      </c>
      <c r="P18" s="35" t="str">
        <f t="shared" si="1"/>
        <v>يلبّي التوقعات</v>
      </c>
    </row>
    <row r="19" spans="1:16" ht="21" customHeight="1" x14ac:dyDescent="0.45">
      <c r="A19" s="60">
        <v>16</v>
      </c>
      <c r="B19" s="61" t="s">
        <v>204</v>
      </c>
      <c r="C19" s="57">
        <v>54</v>
      </c>
      <c r="D19" s="57">
        <v>48</v>
      </c>
      <c r="E19" s="57">
        <v>57</v>
      </c>
      <c r="F19" s="57">
        <v>2.8</v>
      </c>
      <c r="G19" s="57">
        <v>30</v>
      </c>
      <c r="H19" s="57">
        <v>132</v>
      </c>
      <c r="I19" s="58">
        <f>IF($B19="","",IF(C19="","",IFERROR(ROUND(IF('دليل المؤشرات'!$D$25="↓",MIN('دليل المؤشرات'!$F$25/C19,1),IF('دليل المؤشرات'!$D$25="★",C19/10,MIN(C19/'دليل المؤشرات'!$F$25,1)))*'دليل المؤشرات'!$E$25,1),0)))</f>
        <v>15.9</v>
      </c>
      <c r="J19" s="58">
        <f>IF($B19="","",IF(D19="","",IFERROR(ROUND(IF('دليل المؤشرات'!$D$26="↓",MIN('دليل المؤشرات'!$F$26/D19,1),IF('دليل المؤشرات'!$D$26="★",D19/10,MIN(D19/'دليل المؤشرات'!$F$26,1)))*'دليل المؤشرات'!$E$26,1),0)))</f>
        <v>12</v>
      </c>
      <c r="K19" s="58">
        <f>IF($B19="","",IF(E19="","",IFERROR(ROUND(IF('دليل المؤشرات'!$D$27="↓",MIN('دليل المؤشرات'!$F$27/E19,1),IF('دليل المؤشرات'!$D$27="★",E19/10,MIN(E19/'دليل المؤشرات'!$F$27,1)))*'دليل المؤشرات'!$E$27,1),0)))</f>
        <v>12.7</v>
      </c>
      <c r="L19" s="58">
        <f>IF($B19="","",IF(F19="","",IFERROR(ROUND(IF('دليل المؤشرات'!$D$28="↓",MIN('دليل المؤشرات'!$F$28/F19,1),IF('دليل المؤشرات'!$D$28="★",F19/10,MIN(F19/'دليل المؤشرات'!$F$28,1)))*'دليل المؤشرات'!$E$28,1),0)))</f>
        <v>10.7</v>
      </c>
      <c r="M19" s="58">
        <f>IF($B19="","",IF(G19="","",IFERROR(ROUND(IF('دليل المؤشرات'!$D$29="↓",MIN('دليل المؤشرات'!$F$29/G19,1),IF('دليل المؤشرات'!$D$29="★",G19/10,MIN(G19/'دليل المؤشرات'!$F$29,1)))*'دليل المؤشرات'!$E$29,1),0)))</f>
        <v>6</v>
      </c>
      <c r="N19" s="58">
        <f>IF($B19="","",IF(H19="","",IFERROR(ROUND(IF('دليل المؤشرات'!$D$30="↓",MIN('دليل المؤشرات'!$F$30/H19,1),IF('دليل المؤشرات'!$D$30="★",H19/10,MIN(H19/'دليل المؤشرات'!$F$30,1)))*'دليل المؤشرات'!$E$30,1),0)))</f>
        <v>6.6</v>
      </c>
      <c r="O19" s="59">
        <f t="shared" si="0"/>
        <v>63.9</v>
      </c>
      <c r="P19" s="39" t="str">
        <f t="shared" si="1"/>
        <v>يلبّي التوقعات</v>
      </c>
    </row>
    <row r="20" spans="1:16" ht="21" customHeight="1" x14ac:dyDescent="0.45">
      <c r="A20" s="55">
        <v>17</v>
      </c>
      <c r="B20" s="56" t="s">
        <v>205</v>
      </c>
      <c r="C20" s="57">
        <v>74</v>
      </c>
      <c r="D20" s="57">
        <v>70</v>
      </c>
      <c r="E20" s="57">
        <v>81</v>
      </c>
      <c r="F20" s="57">
        <v>2.2000000000000002</v>
      </c>
      <c r="G20" s="57">
        <v>50</v>
      </c>
      <c r="H20" s="57">
        <v>196</v>
      </c>
      <c r="I20" s="58">
        <f>IF($B20="","",IF(C20="","",IFERROR(ROUND(IF('دليل المؤشرات'!$D$25="↓",MIN('دليل المؤشرات'!$F$25/C20,1),IF('دليل المؤشرات'!$D$25="★",C20/10,MIN(C20/'دليل المؤشرات'!$F$25,1)))*'دليل المؤشرات'!$E$25,1),0)))</f>
        <v>21.8</v>
      </c>
      <c r="J20" s="58">
        <f>IF($B20="","",IF(D20="","",IFERROR(ROUND(IF('دليل المؤشرات'!$D$26="↓",MIN('دليل المؤشرات'!$F$26/D20,1),IF('دليل المؤشرات'!$D$26="★",D20/10,MIN(D20/'دليل المؤشرات'!$F$26,1)))*'دليل المؤشرات'!$E$26,1),0)))</f>
        <v>17.5</v>
      </c>
      <c r="K20" s="58">
        <f>IF($B20="","",IF(E20="","",IFERROR(ROUND(IF('دليل المؤشرات'!$D$27="↓",MIN('دليل المؤشرات'!$F$27/E20,1),IF('دليل المؤشرات'!$D$27="★",E20/10,MIN(E20/'دليل المؤشرات'!$F$27,1)))*'دليل المؤشرات'!$E$27,1),0)))</f>
        <v>18</v>
      </c>
      <c r="L20" s="58">
        <f>IF($B20="","",IF(F20="","",IFERROR(ROUND(IF('دليل المؤشرات'!$D$28="↓",MIN('دليل المؤشرات'!$F$28/F20,1),IF('دليل المؤشرات'!$D$28="★",F20/10,MIN(F20/'دليل المؤشرات'!$F$28,1)))*'دليل المؤشرات'!$E$28,1),0)))</f>
        <v>13.6</v>
      </c>
      <c r="M20" s="58">
        <f>IF($B20="","",IF(G20="","",IFERROR(ROUND(IF('دليل المؤشرات'!$D$29="↓",MIN('دليل المؤشرات'!$F$29/G20,1),IF('دليل المؤشرات'!$D$29="★",G20/10,MIN(G20/'دليل المؤشرات'!$F$29,1)))*'دليل المؤشرات'!$E$29,1),0)))</f>
        <v>10</v>
      </c>
      <c r="N20" s="58">
        <f>IF($B20="","",IF(H20="","",IFERROR(ROUND(IF('دليل المؤشرات'!$D$30="↓",MIN('دليل المؤشرات'!$F$30/H20,1),IF('دليل المؤشرات'!$D$30="★",H20/10,MIN(H20/'دليل المؤشرات'!$F$30,1)))*'دليل المؤشرات'!$E$30,1),0)))</f>
        <v>9.8000000000000007</v>
      </c>
      <c r="O20" s="59">
        <f t="shared" si="0"/>
        <v>90.7</v>
      </c>
      <c r="P20" s="35" t="str">
        <f t="shared" si="1"/>
        <v>أداء متميز</v>
      </c>
    </row>
    <row r="21" spans="1:16" ht="21" customHeight="1" x14ac:dyDescent="0.45">
      <c r="A21" s="60">
        <v>18</v>
      </c>
      <c r="B21" s="61" t="s">
        <v>206</v>
      </c>
      <c r="C21" s="57">
        <v>75</v>
      </c>
      <c r="D21" s="57">
        <v>73</v>
      </c>
      <c r="E21" s="57">
        <v>75</v>
      </c>
      <c r="F21" s="57">
        <v>2.2999999999999998</v>
      </c>
      <c r="G21" s="57">
        <v>38</v>
      </c>
      <c r="H21" s="57">
        <v>165</v>
      </c>
      <c r="I21" s="58">
        <f>IF($B21="","",IF(C21="","",IFERROR(ROUND(IF('دليل المؤشرات'!$D$25="↓",MIN('دليل المؤشرات'!$F$25/C21,1),IF('دليل المؤشرات'!$D$25="★",C21/10,MIN(C21/'دليل المؤشرات'!$F$25,1)))*'دليل المؤشرات'!$E$25,1),0)))</f>
        <v>22.1</v>
      </c>
      <c r="J21" s="58">
        <f>IF($B21="","",IF(D21="","",IFERROR(ROUND(IF('دليل المؤشرات'!$D$26="↓",MIN('دليل المؤشرات'!$F$26/D21,1),IF('دليل المؤشرات'!$D$26="★",D21/10,MIN(D21/'دليل المؤشرات'!$F$26,1)))*'دليل المؤشرات'!$E$26,1),0)))</f>
        <v>18.3</v>
      </c>
      <c r="K21" s="58">
        <f>IF($B21="","",IF(E21="","",IFERROR(ROUND(IF('دليل المؤشرات'!$D$27="↓",MIN('دليل المؤشرات'!$F$27/E21,1),IF('دليل المؤشرات'!$D$27="★",E21/10,MIN(E21/'دليل المؤشرات'!$F$27,1)))*'دليل المؤشرات'!$E$27,1),0)))</f>
        <v>16.7</v>
      </c>
      <c r="L21" s="58">
        <f>IF($B21="","",IF(F21="","",IFERROR(ROUND(IF('دليل المؤشرات'!$D$28="↓",MIN('دليل المؤشرات'!$F$28/F21,1),IF('دليل المؤشرات'!$D$28="★",F21/10,MIN(F21/'دليل المؤشرات'!$F$28,1)))*'دليل المؤشرات'!$E$28,1),0)))</f>
        <v>13</v>
      </c>
      <c r="M21" s="58">
        <f>IF($B21="","",IF(G21="","",IFERROR(ROUND(IF('دليل المؤشرات'!$D$29="↓",MIN('دليل المؤشرات'!$F$29/G21,1),IF('دليل المؤشرات'!$D$29="★",G21/10,MIN(G21/'دليل المؤشرات'!$F$29,1)))*'دليل المؤشرات'!$E$29,1),0)))</f>
        <v>7.6</v>
      </c>
      <c r="N21" s="58">
        <f>IF($B21="","",IF(H21="","",IFERROR(ROUND(IF('دليل المؤشرات'!$D$30="↓",MIN('دليل المؤشرات'!$F$30/H21,1),IF('دليل المؤشرات'!$D$30="★",H21/10,MIN(H21/'دليل المؤشرات'!$F$30,1)))*'دليل المؤشرات'!$E$30,1),0)))</f>
        <v>8.3000000000000007</v>
      </c>
      <c r="O21" s="59">
        <f t="shared" si="0"/>
        <v>86</v>
      </c>
      <c r="P21" s="39" t="str">
        <f t="shared" si="1"/>
        <v>يفوق التوقعات</v>
      </c>
    </row>
    <row r="22" spans="1:16" ht="21" customHeight="1" x14ac:dyDescent="0.45">
      <c r="A22" s="55">
        <v>19</v>
      </c>
      <c r="B22" s="56"/>
      <c r="C22" s="57"/>
      <c r="D22" s="57"/>
      <c r="E22" s="57"/>
      <c r="F22" s="57"/>
      <c r="G22" s="57"/>
      <c r="H22" s="57"/>
      <c r="I22" s="58" t="str">
        <f>IF($B22="","",IF(C22="","",IFERROR(ROUND(IF('دليل المؤشرات'!$D$25="↓",MIN('دليل المؤشرات'!$F$25/C22,1),IF('دليل المؤشرات'!$D$25="★",C22/10,MIN(C22/'دليل المؤشرات'!$F$25,1)))*'دليل المؤشرات'!$E$25,1),0)))</f>
        <v/>
      </c>
      <c r="J22" s="58" t="str">
        <f>IF($B22="","",IF(D22="","",IFERROR(ROUND(IF('دليل المؤشرات'!$D$26="↓",MIN('دليل المؤشرات'!$F$26/D22,1),IF('دليل المؤشرات'!$D$26="★",D22/10,MIN(D22/'دليل المؤشرات'!$F$26,1)))*'دليل المؤشرات'!$E$26,1),0)))</f>
        <v/>
      </c>
      <c r="K22" s="58" t="str">
        <f>IF($B22="","",IF(E22="","",IFERROR(ROUND(IF('دليل المؤشرات'!$D$27="↓",MIN('دليل المؤشرات'!$F$27/E22,1),IF('دليل المؤشرات'!$D$27="★",E22/10,MIN(E22/'دليل المؤشرات'!$F$27,1)))*'دليل المؤشرات'!$E$27,1),0)))</f>
        <v/>
      </c>
      <c r="L22" s="58" t="str">
        <f>IF($B22="","",IF(F22="","",IFERROR(ROUND(IF('دليل المؤشرات'!$D$28="↓",MIN('دليل المؤشرات'!$F$28/F22,1),IF('دليل المؤشرات'!$D$28="★",F22/10,MIN(F22/'دليل المؤشرات'!$F$28,1)))*'دليل المؤشرات'!$E$28,1),0)))</f>
        <v/>
      </c>
      <c r="M22" s="58" t="str">
        <f>IF($B22="","",IF(G22="","",IFERROR(ROUND(IF('دليل المؤشرات'!$D$29="↓",MIN('دليل المؤشرات'!$F$29/G22,1),IF('دليل المؤشرات'!$D$29="★",G22/10,MIN(G22/'دليل المؤشرات'!$F$29,1)))*'دليل المؤشرات'!$E$29,1),0)))</f>
        <v/>
      </c>
      <c r="N22" s="58" t="str">
        <f>IF($B22="","",IF(H22="","",IFERROR(ROUND(IF('دليل المؤشرات'!$D$30="↓",MIN('دليل المؤشرات'!$F$30/H22,1),IF('دليل المؤشرات'!$D$30="★",H22/10,MIN(H22/'دليل المؤشرات'!$F$30,1)))*'دليل المؤشرات'!$E$30,1),0)))</f>
        <v/>
      </c>
      <c r="O22" s="59" t="str">
        <f t="shared" si="0"/>
        <v/>
      </c>
      <c r="P22" s="35" t="str">
        <f t="shared" si="1"/>
        <v/>
      </c>
    </row>
    <row r="23" spans="1:16" ht="21" customHeight="1" x14ac:dyDescent="0.45">
      <c r="A23" s="60">
        <v>20</v>
      </c>
      <c r="B23" s="61"/>
      <c r="C23" s="57"/>
      <c r="D23" s="57"/>
      <c r="E23" s="57"/>
      <c r="F23" s="57"/>
      <c r="G23" s="57"/>
      <c r="H23" s="57"/>
      <c r="I23" s="58" t="str">
        <f>IF($B23="","",IF(C23="","",IFERROR(ROUND(IF('دليل المؤشرات'!$D$25="↓",MIN('دليل المؤشرات'!$F$25/C23,1),IF('دليل المؤشرات'!$D$25="★",C23/10,MIN(C23/'دليل المؤشرات'!$F$25,1)))*'دليل المؤشرات'!$E$25,1),0)))</f>
        <v/>
      </c>
      <c r="J23" s="58" t="str">
        <f>IF($B23="","",IF(D23="","",IFERROR(ROUND(IF('دليل المؤشرات'!$D$26="↓",MIN('دليل المؤشرات'!$F$26/D23,1),IF('دليل المؤشرات'!$D$26="★",D23/10,MIN(D23/'دليل المؤشرات'!$F$26,1)))*'دليل المؤشرات'!$E$26,1),0)))</f>
        <v/>
      </c>
      <c r="K23" s="58" t="str">
        <f>IF($B23="","",IF(E23="","",IFERROR(ROUND(IF('دليل المؤشرات'!$D$27="↓",MIN('دليل المؤشرات'!$F$27/E23,1),IF('دليل المؤشرات'!$D$27="★",E23/10,MIN(E23/'دليل المؤشرات'!$F$27,1)))*'دليل المؤشرات'!$E$27,1),0)))</f>
        <v/>
      </c>
      <c r="L23" s="58" t="str">
        <f>IF($B23="","",IF(F23="","",IFERROR(ROUND(IF('دليل المؤشرات'!$D$28="↓",MIN('دليل المؤشرات'!$F$28/F23,1),IF('دليل المؤشرات'!$D$28="★",F23/10,MIN(F23/'دليل المؤشرات'!$F$28,1)))*'دليل المؤشرات'!$E$28,1),0)))</f>
        <v/>
      </c>
      <c r="M23" s="58" t="str">
        <f>IF($B23="","",IF(G23="","",IFERROR(ROUND(IF('دليل المؤشرات'!$D$29="↓",MIN('دليل المؤشرات'!$F$29/G23,1),IF('دليل المؤشرات'!$D$29="★",G23/10,MIN(G23/'دليل المؤشرات'!$F$29,1)))*'دليل المؤشرات'!$E$29,1),0)))</f>
        <v/>
      </c>
      <c r="N23" s="58" t="str">
        <f>IF($B23="","",IF(H23="","",IFERROR(ROUND(IF('دليل المؤشرات'!$D$30="↓",MIN('دليل المؤشرات'!$F$30/H23,1),IF('دليل المؤشرات'!$D$30="★",H23/10,MIN(H23/'دليل المؤشرات'!$F$30,1)))*'دليل المؤشرات'!$E$30,1),0)))</f>
        <v/>
      </c>
      <c r="O23" s="59" t="str">
        <f t="shared" si="0"/>
        <v/>
      </c>
      <c r="P23" s="39" t="str">
        <f t="shared" si="1"/>
        <v/>
      </c>
    </row>
    <row r="24" spans="1:16" ht="21" customHeight="1" x14ac:dyDescent="0.45">
      <c r="A24" s="55">
        <v>21</v>
      </c>
      <c r="B24" s="56"/>
      <c r="C24" s="57"/>
      <c r="D24" s="57"/>
      <c r="E24" s="57"/>
      <c r="F24" s="57"/>
      <c r="G24" s="57"/>
      <c r="H24" s="57"/>
      <c r="I24" s="58" t="str">
        <f>IF($B24="","",IF(C24="","",IFERROR(ROUND(IF('دليل المؤشرات'!$D$25="↓",MIN('دليل المؤشرات'!$F$25/C24,1),IF('دليل المؤشرات'!$D$25="★",C24/10,MIN(C24/'دليل المؤشرات'!$F$25,1)))*'دليل المؤشرات'!$E$25,1),0)))</f>
        <v/>
      </c>
      <c r="J24" s="58" t="str">
        <f>IF($B24="","",IF(D24="","",IFERROR(ROUND(IF('دليل المؤشرات'!$D$26="↓",MIN('دليل المؤشرات'!$F$26/D24,1),IF('دليل المؤشرات'!$D$26="★",D24/10,MIN(D24/'دليل المؤشرات'!$F$26,1)))*'دليل المؤشرات'!$E$26,1),0)))</f>
        <v/>
      </c>
      <c r="K24" s="58" t="str">
        <f>IF($B24="","",IF(E24="","",IFERROR(ROUND(IF('دليل المؤشرات'!$D$27="↓",MIN('دليل المؤشرات'!$F$27/E24,1),IF('دليل المؤشرات'!$D$27="★",E24/10,MIN(E24/'دليل المؤشرات'!$F$27,1)))*'دليل المؤشرات'!$E$27,1),0)))</f>
        <v/>
      </c>
      <c r="L24" s="58" t="str">
        <f>IF($B24="","",IF(F24="","",IFERROR(ROUND(IF('دليل المؤشرات'!$D$28="↓",MIN('دليل المؤشرات'!$F$28/F24,1),IF('دليل المؤشرات'!$D$28="★",F24/10,MIN(F24/'دليل المؤشرات'!$F$28,1)))*'دليل المؤشرات'!$E$28,1),0)))</f>
        <v/>
      </c>
      <c r="M24" s="58" t="str">
        <f>IF($B24="","",IF(G24="","",IFERROR(ROUND(IF('دليل المؤشرات'!$D$29="↓",MIN('دليل المؤشرات'!$F$29/G24,1),IF('دليل المؤشرات'!$D$29="★",G24/10,MIN(G24/'دليل المؤشرات'!$F$29,1)))*'دليل المؤشرات'!$E$29,1),0)))</f>
        <v/>
      </c>
      <c r="N24" s="58" t="str">
        <f>IF($B24="","",IF(H24="","",IFERROR(ROUND(IF('دليل المؤشرات'!$D$30="↓",MIN('دليل المؤشرات'!$F$30/H24,1),IF('دليل المؤشرات'!$D$30="★",H24/10,MIN(H24/'دليل المؤشرات'!$F$30,1)))*'دليل المؤشرات'!$E$30,1),0)))</f>
        <v/>
      </c>
      <c r="O24" s="59" t="str">
        <f t="shared" si="0"/>
        <v/>
      </c>
      <c r="P24" s="35" t="str">
        <f t="shared" si="1"/>
        <v/>
      </c>
    </row>
    <row r="25" spans="1:16" ht="21" customHeight="1" x14ac:dyDescent="0.45">
      <c r="A25" s="60">
        <v>22</v>
      </c>
      <c r="B25" s="61"/>
      <c r="C25" s="57"/>
      <c r="D25" s="57"/>
      <c r="E25" s="57"/>
      <c r="F25" s="57"/>
      <c r="G25" s="57"/>
      <c r="H25" s="57"/>
      <c r="I25" s="58" t="str">
        <f>IF($B25="","",IF(C25="","",IFERROR(ROUND(IF('دليل المؤشرات'!$D$25="↓",MIN('دليل المؤشرات'!$F$25/C25,1),IF('دليل المؤشرات'!$D$25="★",C25/10,MIN(C25/'دليل المؤشرات'!$F$25,1)))*'دليل المؤشرات'!$E$25,1),0)))</f>
        <v/>
      </c>
      <c r="J25" s="58" t="str">
        <f>IF($B25="","",IF(D25="","",IFERROR(ROUND(IF('دليل المؤشرات'!$D$26="↓",MIN('دليل المؤشرات'!$F$26/D25,1),IF('دليل المؤشرات'!$D$26="★",D25/10,MIN(D25/'دليل المؤشرات'!$F$26,1)))*'دليل المؤشرات'!$E$26,1),0)))</f>
        <v/>
      </c>
      <c r="K25" s="58" t="str">
        <f>IF($B25="","",IF(E25="","",IFERROR(ROUND(IF('دليل المؤشرات'!$D$27="↓",MIN('دليل المؤشرات'!$F$27/E25,1),IF('دليل المؤشرات'!$D$27="★",E25/10,MIN(E25/'دليل المؤشرات'!$F$27,1)))*'دليل المؤشرات'!$E$27,1),0)))</f>
        <v/>
      </c>
      <c r="L25" s="58" t="str">
        <f>IF($B25="","",IF(F25="","",IFERROR(ROUND(IF('دليل المؤشرات'!$D$28="↓",MIN('دليل المؤشرات'!$F$28/F25,1),IF('دليل المؤشرات'!$D$28="★",F25/10,MIN(F25/'دليل المؤشرات'!$F$28,1)))*'دليل المؤشرات'!$E$28,1),0)))</f>
        <v/>
      </c>
      <c r="M25" s="58" t="str">
        <f>IF($B25="","",IF(G25="","",IFERROR(ROUND(IF('دليل المؤشرات'!$D$29="↓",MIN('دليل المؤشرات'!$F$29/G25,1),IF('دليل المؤشرات'!$D$29="★",G25/10,MIN(G25/'دليل المؤشرات'!$F$29,1)))*'دليل المؤشرات'!$E$29,1),0)))</f>
        <v/>
      </c>
      <c r="N25" s="58" t="str">
        <f>IF($B25="","",IF(H25="","",IFERROR(ROUND(IF('دليل المؤشرات'!$D$30="↓",MIN('دليل المؤشرات'!$F$30/H25,1),IF('دليل المؤشرات'!$D$30="★",H25/10,MIN(H25/'دليل المؤشرات'!$F$30,1)))*'دليل المؤشرات'!$E$30,1),0)))</f>
        <v/>
      </c>
      <c r="O25" s="59" t="str">
        <f t="shared" si="0"/>
        <v/>
      </c>
      <c r="P25" s="39" t="str">
        <f t="shared" si="1"/>
        <v/>
      </c>
    </row>
    <row r="26" spans="1:16" ht="21" customHeight="1" x14ac:dyDescent="0.45">
      <c r="A26" s="55">
        <v>23</v>
      </c>
      <c r="B26" s="56"/>
      <c r="C26" s="57"/>
      <c r="D26" s="57"/>
      <c r="E26" s="57"/>
      <c r="F26" s="57"/>
      <c r="G26" s="57"/>
      <c r="H26" s="57"/>
      <c r="I26" s="58" t="str">
        <f>IF($B26="","",IF(C26="","",IFERROR(ROUND(IF('دليل المؤشرات'!$D$25="↓",MIN('دليل المؤشرات'!$F$25/C26,1),IF('دليل المؤشرات'!$D$25="★",C26/10,MIN(C26/'دليل المؤشرات'!$F$25,1)))*'دليل المؤشرات'!$E$25,1),0)))</f>
        <v/>
      </c>
      <c r="J26" s="58" t="str">
        <f>IF($B26="","",IF(D26="","",IFERROR(ROUND(IF('دليل المؤشرات'!$D$26="↓",MIN('دليل المؤشرات'!$F$26/D26,1),IF('دليل المؤشرات'!$D$26="★",D26/10,MIN(D26/'دليل المؤشرات'!$F$26,1)))*'دليل المؤشرات'!$E$26,1),0)))</f>
        <v/>
      </c>
      <c r="K26" s="58" t="str">
        <f>IF($B26="","",IF(E26="","",IFERROR(ROUND(IF('دليل المؤشرات'!$D$27="↓",MIN('دليل المؤشرات'!$F$27/E26,1),IF('دليل المؤشرات'!$D$27="★",E26/10,MIN(E26/'دليل المؤشرات'!$F$27,1)))*'دليل المؤشرات'!$E$27,1),0)))</f>
        <v/>
      </c>
      <c r="L26" s="58" t="str">
        <f>IF($B26="","",IF(F26="","",IFERROR(ROUND(IF('دليل المؤشرات'!$D$28="↓",MIN('دليل المؤشرات'!$F$28/F26,1),IF('دليل المؤشرات'!$D$28="★",F26/10,MIN(F26/'دليل المؤشرات'!$F$28,1)))*'دليل المؤشرات'!$E$28,1),0)))</f>
        <v/>
      </c>
      <c r="M26" s="58" t="str">
        <f>IF($B26="","",IF(G26="","",IFERROR(ROUND(IF('دليل المؤشرات'!$D$29="↓",MIN('دليل المؤشرات'!$F$29/G26,1),IF('دليل المؤشرات'!$D$29="★",G26/10,MIN(G26/'دليل المؤشرات'!$F$29,1)))*'دليل المؤشرات'!$E$29,1),0)))</f>
        <v/>
      </c>
      <c r="N26" s="58" t="str">
        <f>IF($B26="","",IF(H26="","",IFERROR(ROUND(IF('دليل المؤشرات'!$D$30="↓",MIN('دليل المؤشرات'!$F$30/H26,1),IF('دليل المؤشرات'!$D$30="★",H26/10,MIN(H26/'دليل المؤشرات'!$F$30,1)))*'دليل المؤشرات'!$E$30,1),0)))</f>
        <v/>
      </c>
      <c r="O26" s="59" t="str">
        <f t="shared" si="0"/>
        <v/>
      </c>
      <c r="P26" s="35" t="str">
        <f t="shared" si="1"/>
        <v/>
      </c>
    </row>
    <row r="27" spans="1:16" ht="21" customHeight="1" x14ac:dyDescent="0.45">
      <c r="A27" s="60">
        <v>24</v>
      </c>
      <c r="B27" s="61"/>
      <c r="C27" s="57"/>
      <c r="D27" s="57"/>
      <c r="E27" s="57"/>
      <c r="F27" s="57"/>
      <c r="G27" s="57"/>
      <c r="H27" s="57"/>
      <c r="I27" s="58" t="str">
        <f>IF($B27="","",IF(C27="","",IFERROR(ROUND(IF('دليل المؤشرات'!$D$25="↓",MIN('دليل المؤشرات'!$F$25/C27,1),IF('دليل المؤشرات'!$D$25="★",C27/10,MIN(C27/'دليل المؤشرات'!$F$25,1)))*'دليل المؤشرات'!$E$25,1),0)))</f>
        <v/>
      </c>
      <c r="J27" s="58" t="str">
        <f>IF($B27="","",IF(D27="","",IFERROR(ROUND(IF('دليل المؤشرات'!$D$26="↓",MIN('دليل المؤشرات'!$F$26/D27,1),IF('دليل المؤشرات'!$D$26="★",D27/10,MIN(D27/'دليل المؤشرات'!$F$26,1)))*'دليل المؤشرات'!$E$26,1),0)))</f>
        <v/>
      </c>
      <c r="K27" s="58" t="str">
        <f>IF($B27="","",IF(E27="","",IFERROR(ROUND(IF('دليل المؤشرات'!$D$27="↓",MIN('دليل المؤشرات'!$F$27/E27,1),IF('دليل المؤشرات'!$D$27="★",E27/10,MIN(E27/'دليل المؤشرات'!$F$27,1)))*'دليل المؤشرات'!$E$27,1),0)))</f>
        <v/>
      </c>
      <c r="L27" s="58" t="str">
        <f>IF($B27="","",IF(F27="","",IFERROR(ROUND(IF('دليل المؤشرات'!$D$28="↓",MIN('دليل المؤشرات'!$F$28/F27,1),IF('دليل المؤشرات'!$D$28="★",F27/10,MIN(F27/'دليل المؤشرات'!$F$28,1)))*'دليل المؤشرات'!$E$28,1),0)))</f>
        <v/>
      </c>
      <c r="M27" s="58" t="str">
        <f>IF($B27="","",IF(G27="","",IFERROR(ROUND(IF('دليل المؤشرات'!$D$29="↓",MIN('دليل المؤشرات'!$F$29/G27,1),IF('دليل المؤشرات'!$D$29="★",G27/10,MIN(G27/'دليل المؤشرات'!$F$29,1)))*'دليل المؤشرات'!$E$29,1),0)))</f>
        <v/>
      </c>
      <c r="N27" s="58" t="str">
        <f>IF($B27="","",IF(H27="","",IFERROR(ROUND(IF('دليل المؤشرات'!$D$30="↓",MIN('دليل المؤشرات'!$F$30/H27,1),IF('دليل المؤشرات'!$D$30="★",H27/10,MIN(H27/'دليل المؤشرات'!$F$30,1)))*'دليل المؤشرات'!$E$30,1),0)))</f>
        <v/>
      </c>
      <c r="O27" s="59" t="str">
        <f t="shared" si="0"/>
        <v/>
      </c>
      <c r="P27" s="39" t="str">
        <f t="shared" si="1"/>
        <v/>
      </c>
    </row>
    <row r="28" spans="1:16" ht="21" customHeight="1" x14ac:dyDescent="0.45">
      <c r="A28" s="55">
        <v>25</v>
      </c>
      <c r="B28" s="56"/>
      <c r="C28" s="57"/>
      <c r="D28" s="57"/>
      <c r="E28" s="57"/>
      <c r="F28" s="57"/>
      <c r="G28" s="57"/>
      <c r="H28" s="57"/>
      <c r="I28" s="58" t="str">
        <f>IF($B28="","",IF(C28="","",IFERROR(ROUND(IF('دليل المؤشرات'!$D$25="↓",MIN('دليل المؤشرات'!$F$25/C28,1),IF('دليل المؤشرات'!$D$25="★",C28/10,MIN(C28/'دليل المؤشرات'!$F$25,1)))*'دليل المؤشرات'!$E$25,1),0)))</f>
        <v/>
      </c>
      <c r="J28" s="58" t="str">
        <f>IF($B28="","",IF(D28="","",IFERROR(ROUND(IF('دليل المؤشرات'!$D$26="↓",MIN('دليل المؤشرات'!$F$26/D28,1),IF('دليل المؤشرات'!$D$26="★",D28/10,MIN(D28/'دليل المؤشرات'!$F$26,1)))*'دليل المؤشرات'!$E$26,1),0)))</f>
        <v/>
      </c>
      <c r="K28" s="58" t="str">
        <f>IF($B28="","",IF(E28="","",IFERROR(ROUND(IF('دليل المؤشرات'!$D$27="↓",MIN('دليل المؤشرات'!$F$27/E28,1),IF('دليل المؤشرات'!$D$27="★",E28/10,MIN(E28/'دليل المؤشرات'!$F$27,1)))*'دليل المؤشرات'!$E$27,1),0)))</f>
        <v/>
      </c>
      <c r="L28" s="58" t="str">
        <f>IF($B28="","",IF(F28="","",IFERROR(ROUND(IF('دليل المؤشرات'!$D$28="↓",MIN('دليل المؤشرات'!$F$28/F28,1),IF('دليل المؤشرات'!$D$28="★",F28/10,MIN(F28/'دليل المؤشرات'!$F$28,1)))*'دليل المؤشرات'!$E$28,1),0)))</f>
        <v/>
      </c>
      <c r="M28" s="58" t="str">
        <f>IF($B28="","",IF(G28="","",IFERROR(ROUND(IF('دليل المؤشرات'!$D$29="↓",MIN('دليل المؤشرات'!$F$29/G28,1),IF('دليل المؤشرات'!$D$29="★",G28/10,MIN(G28/'دليل المؤشرات'!$F$29,1)))*'دليل المؤشرات'!$E$29,1),0)))</f>
        <v/>
      </c>
      <c r="N28" s="58" t="str">
        <f>IF($B28="","",IF(H28="","",IFERROR(ROUND(IF('دليل المؤشرات'!$D$30="↓",MIN('دليل المؤشرات'!$F$30/H28,1),IF('دليل المؤشرات'!$D$30="★",H28/10,MIN(H28/'دليل المؤشرات'!$F$30,1)))*'دليل المؤشرات'!$E$30,1),0)))</f>
        <v/>
      </c>
      <c r="O28" s="59" t="str">
        <f t="shared" si="0"/>
        <v/>
      </c>
      <c r="P28" s="35" t="str">
        <f t="shared" si="1"/>
        <v/>
      </c>
    </row>
    <row r="30" spans="1:16" ht="15" x14ac:dyDescent="0.45">
      <c r="B30" s="89" t="s">
        <v>149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62">
        <f>IFERROR(ROUND(AVERAGE(O4:O28),1),0)</f>
        <v>77.599999999999994</v>
      </c>
      <c r="P30" s="27" t="str">
        <f>COUNTA(B4:B28)&amp;" موظف"</f>
        <v>18 موظف</v>
      </c>
    </row>
  </sheetData>
  <mergeCells count="2">
    <mergeCell ref="A1:P1"/>
    <mergeCell ref="B30:N30"/>
  </mergeCells>
  <conditionalFormatting sqref="O4:O28">
    <cfRule type="colorScale" priority="2">
      <colorScale>
        <cfvo type="num" val="40"/>
        <cfvo type="num" val="70"/>
        <cfvo type="num" val="95"/>
        <color rgb="FFF2A9A2"/>
        <color rgb="FFFBE3A6"/>
        <color rgb="FFA6D2B4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30"/>
  <sheetViews>
    <sheetView showGridLines="0"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7" sqref="D7"/>
    </sheetView>
  </sheetViews>
  <sheetFormatPr defaultColWidth="8.6640625" defaultRowHeight="14.25" x14ac:dyDescent="0.45"/>
  <cols>
    <col min="1" max="1" width="3.46484375" customWidth="1"/>
    <col min="2" max="2" width="22" customWidth="1"/>
    <col min="3" max="8" width="13" customWidth="1"/>
    <col min="9" max="14" width="6.53125" customWidth="1"/>
    <col min="15" max="15" width="11" customWidth="1"/>
    <col min="16" max="16" width="15" customWidth="1"/>
  </cols>
  <sheetData>
    <row r="1" spans="1:16" ht="33.75" customHeight="1" x14ac:dyDescent="0.45">
      <c r="A1" s="86" t="s">
        <v>207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42" customHeight="1" x14ac:dyDescent="0.45">
      <c r="A2" s="48" t="s">
        <v>121</v>
      </c>
      <c r="B2" s="34" t="s">
        <v>122</v>
      </c>
      <c r="C2" s="49" t="s">
        <v>106</v>
      </c>
      <c r="D2" s="49" t="s">
        <v>107</v>
      </c>
      <c r="E2" s="49" t="s">
        <v>108</v>
      </c>
      <c r="F2" s="49" t="s">
        <v>110</v>
      </c>
      <c r="G2" s="49" t="s">
        <v>111</v>
      </c>
      <c r="H2" s="49" t="s">
        <v>112</v>
      </c>
      <c r="I2" s="50" t="s">
        <v>123</v>
      </c>
      <c r="J2" s="50" t="s">
        <v>124</v>
      </c>
      <c r="K2" s="50" t="s">
        <v>125</v>
      </c>
      <c r="L2" s="50" t="s">
        <v>126</v>
      </c>
      <c r="M2" s="50" t="s">
        <v>127</v>
      </c>
      <c r="N2" s="50" t="s">
        <v>128</v>
      </c>
      <c r="O2" s="51" t="s">
        <v>21</v>
      </c>
      <c r="P2" s="51" t="s">
        <v>12</v>
      </c>
    </row>
    <row r="3" spans="1:16" ht="18" customHeight="1" x14ac:dyDescent="0.45">
      <c r="A3" s="47"/>
      <c r="B3" s="52" t="s">
        <v>129</v>
      </c>
      <c r="C3" s="53">
        <f>'دليل المؤشرات'!F32</f>
        <v>90</v>
      </c>
      <c r="D3" s="53">
        <f>'دليل المؤشرات'!F33</f>
        <v>99.5</v>
      </c>
      <c r="E3" s="53">
        <f>'دليل المؤشرات'!F34</f>
        <v>5</v>
      </c>
      <c r="F3" s="53">
        <f>'دليل المؤشرات'!F35</f>
        <v>40</v>
      </c>
      <c r="G3" s="53">
        <f>'دليل المؤشرات'!F36</f>
        <v>80</v>
      </c>
      <c r="H3" s="53">
        <f>'دليل المؤشرات'!F37</f>
        <v>10</v>
      </c>
      <c r="I3" s="54">
        <f>'دليل المؤشرات'!E32</f>
        <v>20</v>
      </c>
      <c r="J3" s="54">
        <f>'دليل المؤشرات'!E33</f>
        <v>20</v>
      </c>
      <c r="K3" s="54">
        <f>'دليل المؤشرات'!E34</f>
        <v>15</v>
      </c>
      <c r="L3" s="54">
        <f>'دليل المؤشرات'!E35</f>
        <v>15</v>
      </c>
      <c r="M3" s="54">
        <f>'دليل المؤشرات'!E36</f>
        <v>15</v>
      </c>
      <c r="N3" s="54">
        <f>'دليل المؤشرات'!E37</f>
        <v>15</v>
      </c>
      <c r="O3" s="30" t="s">
        <v>130</v>
      </c>
      <c r="P3" s="47"/>
    </row>
    <row r="4" spans="1:16" ht="21" customHeight="1" x14ac:dyDescent="0.45">
      <c r="A4" s="55">
        <v>1</v>
      </c>
      <c r="B4" s="56" t="s">
        <v>208</v>
      </c>
      <c r="C4" s="57">
        <v>86</v>
      </c>
      <c r="D4" s="57">
        <v>109.7</v>
      </c>
      <c r="E4" s="57">
        <v>5.3</v>
      </c>
      <c r="F4" s="57">
        <v>38.700000000000003</v>
      </c>
      <c r="G4" s="57">
        <v>85</v>
      </c>
      <c r="H4" s="57">
        <v>9</v>
      </c>
      <c r="I4" s="58">
        <f>IF($B4="","",IF(C4="","",IFERROR(ROUND(IF('دليل المؤشرات'!$D$32="↓",MIN('دليل المؤشرات'!$F$32/C4,1),IF('دليل المؤشرات'!$D$32="★",C4/10,MIN(C4/'دليل المؤشرات'!$F$32,1)))*'دليل المؤشرات'!$E$32,1),0)))</f>
        <v>19.100000000000001</v>
      </c>
      <c r="J4" s="58">
        <f>IF($B4="","",IF(D4="","",IFERROR(ROUND(IF('دليل المؤشرات'!$D$33="↓",MIN('دليل المؤشرات'!$F$33/D4,1),IF('دليل المؤشرات'!$D$33="★",D4/10,MIN(D4/'دليل المؤشرات'!$F$33,1)))*'دليل المؤشرات'!$E$33,1),0)))</f>
        <v>20</v>
      </c>
      <c r="K4" s="58">
        <f>IF($B4="","",IF(E4="","",IFERROR(ROUND(IF('دليل المؤشرات'!$D$34="↓",MIN('دليل المؤشرات'!$F$34/E4,1),IF('دليل المؤشرات'!$D$34="★",E4/10,MIN(E4/'دليل المؤشرات'!$F$34,1)))*'دليل المؤشرات'!$E$34,1),0)))</f>
        <v>14.2</v>
      </c>
      <c r="L4" s="58">
        <f>IF($B4="","",IF(F4="","",IFERROR(ROUND(IF('دليل المؤشرات'!$D$35="↓",MIN('دليل المؤشرات'!$F$35/F4,1),IF('دليل المؤشرات'!$D$35="★",F4/10,MIN(F4/'دليل المؤشرات'!$F$35,1)))*'دليل المؤشرات'!$E$35,1),0)))</f>
        <v>14.5</v>
      </c>
      <c r="M4" s="58">
        <f>IF($B4="","",IF(G4="","",IFERROR(ROUND(IF('دليل المؤشرات'!$D$36="↓",MIN('دليل المؤشرات'!$F$36/G4,1),IF('دليل المؤشرات'!$D$36="★",G4/10,MIN(G4/'دليل المؤشرات'!$F$36,1)))*'دليل المؤشرات'!$E$36,1),0)))</f>
        <v>15</v>
      </c>
      <c r="N4" s="58">
        <f>IF($B4="","",IF(H4="","",IFERROR(ROUND(IF('دليل المؤشرات'!$D$37="↓",MIN('دليل المؤشرات'!$F$37/H4,1),IF('دليل المؤشرات'!$D$37="★",H4/10,MIN(H4/'دليل المؤشرات'!$F$37,1)))*'دليل المؤشرات'!$E$37,1),0)))</f>
        <v>13.5</v>
      </c>
      <c r="O4" s="59">
        <f t="shared" ref="O4:O28" si="0">IF(B4="","",ROUND(SUM(I4:N4),1))</f>
        <v>96.3</v>
      </c>
      <c r="P4" s="35" t="str">
        <f t="shared" ref="P4:P28" si="1">IF(O4="","",IF(O4&gt;=90,"أداء متميز",IF(O4&gt;=75,"يفوق التوقعات",IF(O4&gt;=60,"يلبّي التوقعات",IF(O4&gt;=45,"يحتاج تطوير","غير مُرضٍ")))))</f>
        <v>أداء متميز</v>
      </c>
    </row>
    <row r="5" spans="1:16" ht="21" customHeight="1" x14ac:dyDescent="0.45">
      <c r="A5" s="60">
        <v>2</v>
      </c>
      <c r="B5" s="61" t="s">
        <v>209</v>
      </c>
      <c r="C5" s="57">
        <v>96</v>
      </c>
      <c r="D5" s="57">
        <v>104.6</v>
      </c>
      <c r="E5" s="57">
        <v>4.8</v>
      </c>
      <c r="F5" s="57">
        <v>44</v>
      </c>
      <c r="G5" s="57">
        <v>77</v>
      </c>
      <c r="H5" s="57">
        <v>10</v>
      </c>
      <c r="I5" s="58">
        <f>IF($B5="","",IF(C5="","",IFERROR(ROUND(IF('دليل المؤشرات'!$D$32="↓",MIN('دليل المؤشرات'!$F$32/C5,1),IF('دليل المؤشرات'!$D$32="★",C5/10,MIN(C5/'دليل المؤشرات'!$F$32,1)))*'دليل المؤشرات'!$E$32,1),0)))</f>
        <v>20</v>
      </c>
      <c r="J5" s="58">
        <f>IF($B5="","",IF(D5="","",IFERROR(ROUND(IF('دليل المؤشرات'!$D$33="↓",MIN('دليل المؤشرات'!$F$33/D5,1),IF('دليل المؤشرات'!$D$33="★",D5/10,MIN(D5/'دليل المؤشرات'!$F$33,1)))*'دليل المؤشرات'!$E$33,1),0)))</f>
        <v>20</v>
      </c>
      <c r="K5" s="58">
        <f>IF($B5="","",IF(E5="","",IFERROR(ROUND(IF('دليل المؤشرات'!$D$34="↓",MIN('دليل المؤشرات'!$F$34/E5,1),IF('دليل المؤشرات'!$D$34="★",E5/10,MIN(E5/'دليل المؤشرات'!$F$34,1)))*'دليل المؤشرات'!$E$34,1),0)))</f>
        <v>15</v>
      </c>
      <c r="L5" s="58">
        <f>IF($B5="","",IF(F5="","",IFERROR(ROUND(IF('دليل المؤشرات'!$D$35="↓",MIN('دليل المؤشرات'!$F$35/F5,1),IF('دليل المؤشرات'!$D$35="★",F5/10,MIN(F5/'دليل المؤشرات'!$F$35,1)))*'دليل المؤشرات'!$E$35,1),0)))</f>
        <v>15</v>
      </c>
      <c r="M5" s="58">
        <f>IF($B5="","",IF(G5="","",IFERROR(ROUND(IF('دليل المؤشرات'!$D$36="↓",MIN('دليل المؤشرات'!$F$36/G5,1),IF('دليل المؤشرات'!$D$36="★",G5/10,MIN(G5/'دليل المؤشرات'!$F$36,1)))*'دليل المؤشرات'!$E$36,1),0)))</f>
        <v>14.4</v>
      </c>
      <c r="N5" s="58">
        <f>IF($B5="","",IF(H5="","",IFERROR(ROUND(IF('دليل المؤشرات'!$D$37="↓",MIN('دليل المؤشرات'!$F$37/H5,1),IF('دليل المؤشرات'!$D$37="★",H5/10,MIN(H5/'دليل المؤشرات'!$F$37,1)))*'دليل المؤشرات'!$E$37,1),0)))</f>
        <v>15</v>
      </c>
      <c r="O5" s="59">
        <f t="shared" si="0"/>
        <v>99.4</v>
      </c>
      <c r="P5" s="39" t="str">
        <f t="shared" si="1"/>
        <v>أداء متميز</v>
      </c>
    </row>
    <row r="6" spans="1:16" ht="21" customHeight="1" x14ac:dyDescent="0.45">
      <c r="A6" s="55">
        <v>3</v>
      </c>
      <c r="B6" s="56" t="s">
        <v>210</v>
      </c>
      <c r="C6" s="57">
        <v>87</v>
      </c>
      <c r="D6" s="57">
        <v>81.900000000000006</v>
      </c>
      <c r="E6" s="57">
        <v>5.4</v>
      </c>
      <c r="F6" s="57">
        <v>40.200000000000003</v>
      </c>
      <c r="G6" s="57">
        <v>70</v>
      </c>
      <c r="H6" s="57">
        <v>9</v>
      </c>
      <c r="I6" s="58">
        <f>IF($B6="","",IF(C6="","",IFERROR(ROUND(IF('دليل المؤشرات'!$D$32="↓",MIN('دليل المؤشرات'!$F$32/C6,1),IF('دليل المؤشرات'!$D$32="★",C6/10,MIN(C6/'دليل المؤشرات'!$F$32,1)))*'دليل المؤشرات'!$E$32,1),0)))</f>
        <v>19.3</v>
      </c>
      <c r="J6" s="58">
        <f>IF($B6="","",IF(D6="","",IFERROR(ROUND(IF('دليل المؤشرات'!$D$33="↓",MIN('دليل المؤشرات'!$F$33/D6,1),IF('دليل المؤشرات'!$D$33="★",D6/10,MIN(D6/'دليل المؤشرات'!$F$33,1)))*'دليل المؤشرات'!$E$33,1),0)))</f>
        <v>16.5</v>
      </c>
      <c r="K6" s="58">
        <f>IF($B6="","",IF(E6="","",IFERROR(ROUND(IF('دليل المؤشرات'!$D$34="↓",MIN('دليل المؤشرات'!$F$34/E6,1),IF('دليل المؤشرات'!$D$34="★",E6/10,MIN(E6/'دليل المؤشرات'!$F$34,1)))*'دليل المؤشرات'!$E$34,1),0)))</f>
        <v>13.9</v>
      </c>
      <c r="L6" s="58">
        <f>IF($B6="","",IF(F6="","",IFERROR(ROUND(IF('دليل المؤشرات'!$D$35="↓",MIN('دليل المؤشرات'!$F$35/F6,1),IF('دليل المؤشرات'!$D$35="★",F6/10,MIN(F6/'دليل المؤشرات'!$F$35,1)))*'دليل المؤشرات'!$E$35,1),0)))</f>
        <v>15</v>
      </c>
      <c r="M6" s="58">
        <f>IF($B6="","",IF(G6="","",IFERROR(ROUND(IF('دليل المؤشرات'!$D$36="↓",MIN('دليل المؤشرات'!$F$36/G6,1),IF('دليل المؤشرات'!$D$36="★",G6/10,MIN(G6/'دليل المؤشرات'!$F$36,1)))*'دليل المؤشرات'!$E$36,1),0)))</f>
        <v>13.1</v>
      </c>
      <c r="N6" s="58">
        <f>IF($B6="","",IF(H6="","",IFERROR(ROUND(IF('دليل المؤشرات'!$D$37="↓",MIN('دليل المؤشرات'!$F$37/H6,1),IF('دليل المؤشرات'!$D$37="★",H6/10,MIN(H6/'دليل المؤشرات'!$F$37,1)))*'دليل المؤشرات'!$E$37,1),0)))</f>
        <v>13.5</v>
      </c>
      <c r="O6" s="59">
        <f t="shared" si="0"/>
        <v>91.3</v>
      </c>
      <c r="P6" s="35" t="str">
        <f t="shared" si="1"/>
        <v>أداء متميز</v>
      </c>
    </row>
    <row r="7" spans="1:16" ht="21" customHeight="1" x14ac:dyDescent="0.45">
      <c r="A7" s="60">
        <v>4</v>
      </c>
      <c r="B7" s="61" t="s">
        <v>211</v>
      </c>
      <c r="C7" s="57">
        <v>71</v>
      </c>
      <c r="D7" s="57">
        <v>78.8</v>
      </c>
      <c r="E7" s="57">
        <v>7</v>
      </c>
      <c r="F7" s="57">
        <v>30.8</v>
      </c>
      <c r="G7" s="57">
        <v>65</v>
      </c>
      <c r="H7" s="57">
        <v>7</v>
      </c>
      <c r="I7" s="58">
        <f>IF($B7="","",IF(C7="","",IFERROR(ROUND(IF('دليل المؤشرات'!$D$32="↓",MIN('دليل المؤشرات'!$F$32/C7,1),IF('دليل المؤشرات'!$D$32="★",C7/10,MIN(C7/'دليل المؤشرات'!$F$32,1)))*'دليل المؤشرات'!$E$32,1),0)))</f>
        <v>15.8</v>
      </c>
      <c r="J7" s="58">
        <f>IF($B7="","",IF(D7="","",IFERROR(ROUND(IF('دليل المؤشرات'!$D$33="↓",MIN('دليل المؤشرات'!$F$33/D7,1),IF('دليل المؤشرات'!$D$33="★",D7/10,MIN(D7/'دليل المؤشرات'!$F$33,1)))*'دليل المؤشرات'!$E$33,1),0)))</f>
        <v>15.8</v>
      </c>
      <c r="K7" s="58">
        <f>IF($B7="","",IF(E7="","",IFERROR(ROUND(IF('دليل المؤشرات'!$D$34="↓",MIN('دليل المؤشرات'!$F$34/E7,1),IF('دليل المؤشرات'!$D$34="★",E7/10,MIN(E7/'دليل المؤشرات'!$F$34,1)))*'دليل المؤشرات'!$E$34,1),0)))</f>
        <v>10.7</v>
      </c>
      <c r="L7" s="58">
        <f>IF($B7="","",IF(F7="","",IFERROR(ROUND(IF('دليل المؤشرات'!$D$35="↓",MIN('دليل المؤشرات'!$F$35/F7,1),IF('دليل المؤشرات'!$D$35="★",F7/10,MIN(F7/'دليل المؤشرات'!$F$35,1)))*'دليل المؤشرات'!$E$35,1),0)))</f>
        <v>11.6</v>
      </c>
      <c r="M7" s="58">
        <f>IF($B7="","",IF(G7="","",IFERROR(ROUND(IF('دليل المؤشرات'!$D$36="↓",MIN('دليل المؤشرات'!$F$36/G7,1),IF('دليل المؤشرات'!$D$36="★",G7/10,MIN(G7/'دليل المؤشرات'!$F$36,1)))*'دليل المؤشرات'!$E$36,1),0)))</f>
        <v>12.2</v>
      </c>
      <c r="N7" s="58">
        <f>IF($B7="","",IF(H7="","",IFERROR(ROUND(IF('دليل المؤشرات'!$D$37="↓",MIN('دليل المؤشرات'!$F$37/H7,1),IF('دليل المؤشرات'!$D$37="★",H7/10,MIN(H7/'دليل المؤشرات'!$F$37,1)))*'دليل المؤشرات'!$E$37,1),0)))</f>
        <v>10.5</v>
      </c>
      <c r="O7" s="59">
        <f t="shared" si="0"/>
        <v>76.599999999999994</v>
      </c>
      <c r="P7" s="39" t="str">
        <f t="shared" si="1"/>
        <v>يفوق التوقعات</v>
      </c>
    </row>
    <row r="8" spans="1:16" ht="21" customHeight="1" x14ac:dyDescent="0.45">
      <c r="A8" s="55">
        <v>5</v>
      </c>
      <c r="B8" s="56" t="s">
        <v>212</v>
      </c>
      <c r="C8" s="57">
        <v>79</v>
      </c>
      <c r="D8" s="57">
        <v>84</v>
      </c>
      <c r="E8" s="57">
        <v>5.6</v>
      </c>
      <c r="F8" s="57">
        <v>36.6</v>
      </c>
      <c r="G8" s="57">
        <v>77</v>
      </c>
      <c r="H8" s="57">
        <v>9</v>
      </c>
      <c r="I8" s="58">
        <f>IF($B8="","",IF(C8="","",IFERROR(ROUND(IF('دليل المؤشرات'!$D$32="↓",MIN('دليل المؤشرات'!$F$32/C8,1),IF('دليل المؤشرات'!$D$32="★",C8/10,MIN(C8/'دليل المؤشرات'!$F$32,1)))*'دليل المؤشرات'!$E$32,1),0)))</f>
        <v>17.600000000000001</v>
      </c>
      <c r="J8" s="58">
        <f>IF($B8="","",IF(D8="","",IFERROR(ROUND(IF('دليل المؤشرات'!$D$33="↓",MIN('دليل المؤشرات'!$F$33/D8,1),IF('دليل المؤشرات'!$D$33="★",D8/10,MIN(D8/'دليل المؤشرات'!$F$33,1)))*'دليل المؤشرات'!$E$33,1),0)))</f>
        <v>16.899999999999999</v>
      </c>
      <c r="K8" s="58">
        <f>IF($B8="","",IF(E8="","",IFERROR(ROUND(IF('دليل المؤشرات'!$D$34="↓",MIN('دليل المؤشرات'!$F$34/E8,1),IF('دليل المؤشرات'!$D$34="★",E8/10,MIN(E8/'دليل المؤشرات'!$F$34,1)))*'دليل المؤشرات'!$E$34,1),0)))</f>
        <v>13.4</v>
      </c>
      <c r="L8" s="58">
        <f>IF($B8="","",IF(F8="","",IFERROR(ROUND(IF('دليل المؤشرات'!$D$35="↓",MIN('دليل المؤشرات'!$F$35/F8,1),IF('دليل المؤشرات'!$D$35="★",F8/10,MIN(F8/'دليل المؤشرات'!$F$35,1)))*'دليل المؤشرات'!$E$35,1),0)))</f>
        <v>13.7</v>
      </c>
      <c r="M8" s="58">
        <f>IF($B8="","",IF(G8="","",IFERROR(ROUND(IF('دليل المؤشرات'!$D$36="↓",MIN('دليل المؤشرات'!$F$36/G8,1),IF('دليل المؤشرات'!$D$36="★",G8/10,MIN(G8/'دليل المؤشرات'!$F$36,1)))*'دليل المؤشرات'!$E$36,1),0)))</f>
        <v>14.4</v>
      </c>
      <c r="N8" s="58">
        <f>IF($B8="","",IF(H8="","",IFERROR(ROUND(IF('دليل المؤشرات'!$D$37="↓",MIN('دليل المؤشرات'!$F$37/H8,1),IF('دليل المؤشرات'!$D$37="★",H8/10,MIN(H8/'دليل المؤشرات'!$F$37,1)))*'دليل المؤشرات'!$E$37,1),0)))</f>
        <v>13.5</v>
      </c>
      <c r="O8" s="59">
        <f t="shared" si="0"/>
        <v>89.5</v>
      </c>
      <c r="P8" s="35" t="str">
        <f t="shared" si="1"/>
        <v>يفوق التوقعات</v>
      </c>
    </row>
    <row r="9" spans="1:16" ht="21" customHeight="1" x14ac:dyDescent="0.45">
      <c r="A9" s="60">
        <v>6</v>
      </c>
      <c r="B9" s="61" t="s">
        <v>213</v>
      </c>
      <c r="C9" s="57">
        <v>86</v>
      </c>
      <c r="D9" s="57">
        <v>103.9</v>
      </c>
      <c r="E9" s="57">
        <v>5.0999999999999996</v>
      </c>
      <c r="F9" s="57">
        <v>44</v>
      </c>
      <c r="G9" s="57">
        <v>78</v>
      </c>
      <c r="H9" s="57">
        <v>10</v>
      </c>
      <c r="I9" s="58">
        <f>IF($B9="","",IF(C9="","",IFERROR(ROUND(IF('دليل المؤشرات'!$D$32="↓",MIN('دليل المؤشرات'!$F$32/C9,1),IF('دليل المؤشرات'!$D$32="★",C9/10,MIN(C9/'دليل المؤشرات'!$F$32,1)))*'دليل المؤشرات'!$E$32,1),0)))</f>
        <v>19.100000000000001</v>
      </c>
      <c r="J9" s="58">
        <f>IF($B9="","",IF(D9="","",IFERROR(ROUND(IF('دليل المؤشرات'!$D$33="↓",MIN('دليل المؤشرات'!$F$33/D9,1),IF('دليل المؤشرات'!$D$33="★",D9/10,MIN(D9/'دليل المؤشرات'!$F$33,1)))*'دليل المؤشرات'!$E$33,1),0)))</f>
        <v>20</v>
      </c>
      <c r="K9" s="58">
        <f>IF($B9="","",IF(E9="","",IFERROR(ROUND(IF('دليل المؤشرات'!$D$34="↓",MIN('دليل المؤشرات'!$F$34/E9,1),IF('دليل المؤشرات'!$D$34="★",E9/10,MIN(E9/'دليل المؤشرات'!$F$34,1)))*'دليل المؤشرات'!$E$34,1),0)))</f>
        <v>14.7</v>
      </c>
      <c r="L9" s="58">
        <f>IF($B9="","",IF(F9="","",IFERROR(ROUND(IF('دليل المؤشرات'!$D$35="↓",MIN('دليل المؤشرات'!$F$35/F9,1),IF('دليل المؤشرات'!$D$35="★",F9/10,MIN(F9/'دليل المؤشرات'!$F$35,1)))*'دليل المؤشرات'!$E$35,1),0)))</f>
        <v>15</v>
      </c>
      <c r="M9" s="58">
        <f>IF($B9="","",IF(G9="","",IFERROR(ROUND(IF('دليل المؤشرات'!$D$36="↓",MIN('دليل المؤشرات'!$F$36/G9,1),IF('دليل المؤشرات'!$D$36="★",G9/10,MIN(G9/'دليل المؤشرات'!$F$36,1)))*'دليل المؤشرات'!$E$36,1),0)))</f>
        <v>14.6</v>
      </c>
      <c r="N9" s="58">
        <f>IF($B9="","",IF(H9="","",IFERROR(ROUND(IF('دليل المؤشرات'!$D$37="↓",MIN('دليل المؤشرات'!$F$37/H9,1),IF('دليل المؤشرات'!$D$37="★",H9/10,MIN(H9/'دليل المؤشرات'!$F$37,1)))*'دليل المؤشرات'!$E$37,1),0)))</f>
        <v>15</v>
      </c>
      <c r="O9" s="59">
        <f t="shared" si="0"/>
        <v>98.4</v>
      </c>
      <c r="P9" s="39" t="str">
        <f t="shared" si="1"/>
        <v>أداء متميز</v>
      </c>
    </row>
    <row r="10" spans="1:16" ht="21" customHeight="1" x14ac:dyDescent="0.45">
      <c r="A10" s="55">
        <v>7</v>
      </c>
      <c r="B10" s="56" t="s">
        <v>214</v>
      </c>
      <c r="C10" s="57">
        <v>71</v>
      </c>
      <c r="D10" s="57">
        <v>73.599999999999994</v>
      </c>
      <c r="E10" s="57">
        <v>6.7</v>
      </c>
      <c r="F10" s="57">
        <v>31.1</v>
      </c>
      <c r="G10" s="57">
        <v>65</v>
      </c>
      <c r="H10" s="57">
        <v>9</v>
      </c>
      <c r="I10" s="58">
        <f>IF($B10="","",IF(C10="","",IFERROR(ROUND(IF('دليل المؤشرات'!$D$32="↓",MIN('دليل المؤشرات'!$F$32/C10,1),IF('دليل المؤشرات'!$D$32="★",C10/10,MIN(C10/'دليل المؤشرات'!$F$32,1)))*'دليل المؤشرات'!$E$32,1),0)))</f>
        <v>15.8</v>
      </c>
      <c r="J10" s="58">
        <f>IF($B10="","",IF(D10="","",IFERROR(ROUND(IF('دليل المؤشرات'!$D$33="↓",MIN('دليل المؤشرات'!$F$33/D10,1),IF('دليل المؤشرات'!$D$33="★",D10/10,MIN(D10/'دليل المؤشرات'!$F$33,1)))*'دليل المؤشرات'!$E$33,1),0)))</f>
        <v>14.8</v>
      </c>
      <c r="K10" s="58">
        <f>IF($B10="","",IF(E10="","",IFERROR(ROUND(IF('دليل المؤشرات'!$D$34="↓",MIN('دليل المؤشرات'!$F$34/E10,1),IF('دليل المؤشرات'!$D$34="★",E10/10,MIN(E10/'دليل المؤشرات'!$F$34,1)))*'دليل المؤشرات'!$E$34,1),0)))</f>
        <v>11.2</v>
      </c>
      <c r="L10" s="58">
        <f>IF($B10="","",IF(F10="","",IFERROR(ROUND(IF('دليل المؤشرات'!$D$35="↓",MIN('دليل المؤشرات'!$F$35/F10,1),IF('دليل المؤشرات'!$D$35="★",F10/10,MIN(F10/'دليل المؤشرات'!$F$35,1)))*'دليل المؤشرات'!$E$35,1),0)))</f>
        <v>11.7</v>
      </c>
      <c r="M10" s="58">
        <f>IF($B10="","",IF(G10="","",IFERROR(ROUND(IF('دليل المؤشرات'!$D$36="↓",MIN('دليل المؤشرات'!$F$36/G10,1),IF('دليل المؤشرات'!$D$36="★",G10/10,MIN(G10/'دليل المؤشرات'!$F$36,1)))*'دليل المؤشرات'!$E$36,1),0)))</f>
        <v>12.2</v>
      </c>
      <c r="N10" s="58">
        <f>IF($B10="","",IF(H10="","",IFERROR(ROUND(IF('دليل المؤشرات'!$D$37="↓",MIN('دليل المؤشرات'!$F$37/H10,1),IF('دليل المؤشرات'!$D$37="★",H10/10,MIN(H10/'دليل المؤشرات'!$F$37,1)))*'دليل المؤشرات'!$E$37,1),0)))</f>
        <v>13.5</v>
      </c>
      <c r="O10" s="59">
        <f t="shared" si="0"/>
        <v>79.2</v>
      </c>
      <c r="P10" s="35" t="str">
        <f t="shared" si="1"/>
        <v>يفوق التوقعات</v>
      </c>
    </row>
    <row r="11" spans="1:16" ht="21" customHeight="1" x14ac:dyDescent="0.45">
      <c r="A11" s="60">
        <v>8</v>
      </c>
      <c r="B11" s="61" t="s">
        <v>215</v>
      </c>
      <c r="C11" s="57">
        <v>86</v>
      </c>
      <c r="D11" s="57">
        <v>94.1</v>
      </c>
      <c r="E11" s="57">
        <v>4.7</v>
      </c>
      <c r="F11" s="57">
        <v>41.1</v>
      </c>
      <c r="G11" s="57">
        <v>87</v>
      </c>
      <c r="H11" s="57">
        <v>10</v>
      </c>
      <c r="I11" s="58">
        <f>IF($B11="","",IF(C11="","",IFERROR(ROUND(IF('دليل المؤشرات'!$D$32="↓",MIN('دليل المؤشرات'!$F$32/C11,1),IF('دليل المؤشرات'!$D$32="★",C11/10,MIN(C11/'دليل المؤشرات'!$F$32,1)))*'دليل المؤشرات'!$E$32,1),0)))</f>
        <v>19.100000000000001</v>
      </c>
      <c r="J11" s="58">
        <f>IF($B11="","",IF(D11="","",IFERROR(ROUND(IF('دليل المؤشرات'!$D$33="↓",MIN('دليل المؤشرات'!$F$33/D11,1),IF('دليل المؤشرات'!$D$33="★",D11/10,MIN(D11/'دليل المؤشرات'!$F$33,1)))*'دليل المؤشرات'!$E$33,1),0)))</f>
        <v>18.899999999999999</v>
      </c>
      <c r="K11" s="58">
        <f>IF($B11="","",IF(E11="","",IFERROR(ROUND(IF('دليل المؤشرات'!$D$34="↓",MIN('دليل المؤشرات'!$F$34/E11,1),IF('دليل المؤشرات'!$D$34="★",E11/10,MIN(E11/'دليل المؤشرات'!$F$34,1)))*'دليل المؤشرات'!$E$34,1),0)))</f>
        <v>15</v>
      </c>
      <c r="L11" s="58">
        <f>IF($B11="","",IF(F11="","",IFERROR(ROUND(IF('دليل المؤشرات'!$D$35="↓",MIN('دليل المؤشرات'!$F$35/F11,1),IF('دليل المؤشرات'!$D$35="★",F11/10,MIN(F11/'دليل المؤشرات'!$F$35,1)))*'دليل المؤشرات'!$E$35,1),0)))</f>
        <v>15</v>
      </c>
      <c r="M11" s="58">
        <f>IF($B11="","",IF(G11="","",IFERROR(ROUND(IF('دليل المؤشرات'!$D$36="↓",MIN('دليل المؤشرات'!$F$36/G11,1),IF('دليل المؤشرات'!$D$36="★",G11/10,MIN(G11/'دليل المؤشرات'!$F$36,1)))*'دليل المؤشرات'!$E$36,1),0)))</f>
        <v>15</v>
      </c>
      <c r="N11" s="58">
        <f>IF($B11="","",IF(H11="","",IFERROR(ROUND(IF('دليل المؤشرات'!$D$37="↓",MIN('دليل المؤشرات'!$F$37/H11,1),IF('دليل المؤشرات'!$D$37="★",H11/10,MIN(H11/'دليل المؤشرات'!$F$37,1)))*'دليل المؤشرات'!$E$37,1),0)))</f>
        <v>15</v>
      </c>
      <c r="O11" s="59">
        <f t="shared" si="0"/>
        <v>98</v>
      </c>
      <c r="P11" s="39" t="str">
        <f t="shared" si="1"/>
        <v>أداء متميز</v>
      </c>
    </row>
    <row r="12" spans="1:16" ht="21" customHeight="1" x14ac:dyDescent="0.45">
      <c r="A12" s="55">
        <v>9</v>
      </c>
      <c r="B12" s="56" t="s">
        <v>216</v>
      </c>
      <c r="C12" s="57">
        <v>50</v>
      </c>
      <c r="D12" s="57">
        <v>63.6</v>
      </c>
      <c r="E12" s="57">
        <v>8.1</v>
      </c>
      <c r="F12" s="57">
        <v>21.3</v>
      </c>
      <c r="G12" s="57">
        <v>49</v>
      </c>
      <c r="H12" s="57">
        <v>6</v>
      </c>
      <c r="I12" s="58">
        <f>IF($B12="","",IF(C12="","",IFERROR(ROUND(IF('دليل المؤشرات'!$D$32="↓",MIN('دليل المؤشرات'!$F$32/C12,1),IF('دليل المؤشرات'!$D$32="★",C12/10,MIN(C12/'دليل المؤشرات'!$F$32,1)))*'دليل المؤشرات'!$E$32,1),0)))</f>
        <v>11.1</v>
      </c>
      <c r="J12" s="58">
        <f>IF($B12="","",IF(D12="","",IFERROR(ROUND(IF('دليل المؤشرات'!$D$33="↓",MIN('دليل المؤشرات'!$F$33/D12,1),IF('دليل المؤشرات'!$D$33="★",D12/10,MIN(D12/'دليل المؤشرات'!$F$33,1)))*'دليل المؤشرات'!$E$33,1),0)))</f>
        <v>12.8</v>
      </c>
      <c r="K12" s="58">
        <f>IF($B12="","",IF(E12="","",IFERROR(ROUND(IF('دليل المؤشرات'!$D$34="↓",MIN('دليل المؤشرات'!$F$34/E12,1),IF('دليل المؤشرات'!$D$34="★",E12/10,MIN(E12/'دليل المؤشرات'!$F$34,1)))*'دليل المؤشرات'!$E$34,1),0)))</f>
        <v>9.3000000000000007</v>
      </c>
      <c r="L12" s="58">
        <f>IF($B12="","",IF(F12="","",IFERROR(ROUND(IF('دليل المؤشرات'!$D$35="↓",MIN('دليل المؤشرات'!$F$35/F12,1),IF('دليل المؤشرات'!$D$35="★",F12/10,MIN(F12/'دليل المؤشرات'!$F$35,1)))*'دليل المؤشرات'!$E$35,1),0)))</f>
        <v>8</v>
      </c>
      <c r="M12" s="58">
        <f>IF($B12="","",IF(G12="","",IFERROR(ROUND(IF('دليل المؤشرات'!$D$36="↓",MIN('دليل المؤشرات'!$F$36/G12,1),IF('دليل المؤشرات'!$D$36="★",G12/10,MIN(G12/'دليل المؤشرات'!$F$36,1)))*'دليل المؤشرات'!$E$36,1),0)))</f>
        <v>9.1999999999999993</v>
      </c>
      <c r="N12" s="58">
        <f>IF($B12="","",IF(H12="","",IFERROR(ROUND(IF('دليل المؤشرات'!$D$37="↓",MIN('دليل المؤشرات'!$F$37/H12,1),IF('دليل المؤشرات'!$D$37="★",H12/10,MIN(H12/'دليل المؤشرات'!$F$37,1)))*'دليل المؤشرات'!$E$37,1),0)))</f>
        <v>9</v>
      </c>
      <c r="O12" s="59">
        <f t="shared" si="0"/>
        <v>59.4</v>
      </c>
      <c r="P12" s="35" t="str">
        <f t="shared" si="1"/>
        <v>يحتاج تطوير</v>
      </c>
    </row>
    <row r="13" spans="1:16" ht="21" customHeight="1" x14ac:dyDescent="0.45">
      <c r="A13" s="60">
        <v>10</v>
      </c>
      <c r="B13" s="61" t="s">
        <v>217</v>
      </c>
      <c r="C13" s="57">
        <v>80</v>
      </c>
      <c r="D13" s="57">
        <v>82.2</v>
      </c>
      <c r="E13" s="57">
        <v>6.1</v>
      </c>
      <c r="F13" s="57">
        <v>32.799999999999997</v>
      </c>
      <c r="G13" s="57">
        <v>71</v>
      </c>
      <c r="H13" s="57">
        <v>10</v>
      </c>
      <c r="I13" s="58">
        <f>IF($B13="","",IF(C13="","",IFERROR(ROUND(IF('دليل المؤشرات'!$D$32="↓",MIN('دليل المؤشرات'!$F$32/C13,1),IF('دليل المؤشرات'!$D$32="★",C13/10,MIN(C13/'دليل المؤشرات'!$F$32,1)))*'دليل المؤشرات'!$E$32,1),0)))</f>
        <v>17.8</v>
      </c>
      <c r="J13" s="58">
        <f>IF($B13="","",IF(D13="","",IFERROR(ROUND(IF('دليل المؤشرات'!$D$33="↓",MIN('دليل المؤشرات'!$F$33/D13,1),IF('دليل المؤشرات'!$D$33="★",D13/10,MIN(D13/'دليل المؤشرات'!$F$33,1)))*'دليل المؤشرات'!$E$33,1),0)))</f>
        <v>16.5</v>
      </c>
      <c r="K13" s="58">
        <f>IF($B13="","",IF(E13="","",IFERROR(ROUND(IF('دليل المؤشرات'!$D$34="↓",MIN('دليل المؤشرات'!$F$34/E13,1),IF('دليل المؤشرات'!$D$34="★",E13/10,MIN(E13/'دليل المؤشرات'!$F$34,1)))*'دليل المؤشرات'!$E$34,1),0)))</f>
        <v>12.3</v>
      </c>
      <c r="L13" s="58">
        <f>IF($B13="","",IF(F13="","",IFERROR(ROUND(IF('دليل المؤشرات'!$D$35="↓",MIN('دليل المؤشرات'!$F$35/F13,1),IF('دليل المؤشرات'!$D$35="★",F13/10,MIN(F13/'دليل المؤشرات'!$F$35,1)))*'دليل المؤشرات'!$E$35,1),0)))</f>
        <v>12.3</v>
      </c>
      <c r="M13" s="58">
        <f>IF($B13="","",IF(G13="","",IFERROR(ROUND(IF('دليل المؤشرات'!$D$36="↓",MIN('دليل المؤشرات'!$F$36/G13,1),IF('دليل المؤشرات'!$D$36="★",G13/10,MIN(G13/'دليل المؤشرات'!$F$36,1)))*'دليل المؤشرات'!$E$36,1),0)))</f>
        <v>13.3</v>
      </c>
      <c r="N13" s="58">
        <f>IF($B13="","",IF(H13="","",IFERROR(ROUND(IF('دليل المؤشرات'!$D$37="↓",MIN('دليل المؤشرات'!$F$37/H13,1),IF('دليل المؤشرات'!$D$37="★",H13/10,MIN(H13/'دليل المؤشرات'!$F$37,1)))*'دليل المؤشرات'!$E$37,1),0)))</f>
        <v>15</v>
      </c>
      <c r="O13" s="59">
        <f t="shared" si="0"/>
        <v>87.2</v>
      </c>
      <c r="P13" s="39" t="str">
        <f t="shared" si="1"/>
        <v>يفوق التوقعات</v>
      </c>
    </row>
    <row r="14" spans="1:16" ht="21" customHeight="1" x14ac:dyDescent="0.45">
      <c r="A14" s="55">
        <v>11</v>
      </c>
      <c r="B14" s="56" t="s">
        <v>218</v>
      </c>
      <c r="C14" s="57">
        <v>55</v>
      </c>
      <c r="D14" s="57">
        <v>55.3</v>
      </c>
      <c r="E14" s="57">
        <v>8.1999999999999993</v>
      </c>
      <c r="F14" s="57">
        <v>21.2</v>
      </c>
      <c r="G14" s="57">
        <v>48</v>
      </c>
      <c r="H14" s="57">
        <v>5</v>
      </c>
      <c r="I14" s="58">
        <f>IF($B14="","",IF(C14="","",IFERROR(ROUND(IF('دليل المؤشرات'!$D$32="↓",MIN('دليل المؤشرات'!$F$32/C14,1),IF('دليل المؤشرات'!$D$32="★",C14/10,MIN(C14/'دليل المؤشرات'!$F$32,1)))*'دليل المؤشرات'!$E$32,1),0)))</f>
        <v>12.2</v>
      </c>
      <c r="J14" s="58">
        <f>IF($B14="","",IF(D14="","",IFERROR(ROUND(IF('دليل المؤشرات'!$D$33="↓",MIN('دليل المؤشرات'!$F$33/D14,1),IF('دليل المؤشرات'!$D$33="★",D14/10,MIN(D14/'دليل المؤشرات'!$F$33,1)))*'دليل المؤشرات'!$E$33,1),0)))</f>
        <v>11.1</v>
      </c>
      <c r="K14" s="58">
        <f>IF($B14="","",IF(E14="","",IFERROR(ROUND(IF('دليل المؤشرات'!$D$34="↓",MIN('دليل المؤشرات'!$F$34/E14,1),IF('دليل المؤشرات'!$D$34="★",E14/10,MIN(E14/'دليل المؤشرات'!$F$34,1)))*'دليل المؤشرات'!$E$34,1),0)))</f>
        <v>9.1</v>
      </c>
      <c r="L14" s="58">
        <f>IF($B14="","",IF(F14="","",IFERROR(ROUND(IF('دليل المؤشرات'!$D$35="↓",MIN('دليل المؤشرات'!$F$35/F14,1),IF('دليل المؤشرات'!$D$35="★",F14/10,MIN(F14/'دليل المؤشرات'!$F$35,1)))*'دليل المؤشرات'!$E$35,1),0)))</f>
        <v>8</v>
      </c>
      <c r="M14" s="58">
        <f>IF($B14="","",IF(G14="","",IFERROR(ROUND(IF('دليل المؤشرات'!$D$36="↓",MIN('دليل المؤشرات'!$F$36/G14,1),IF('دليل المؤشرات'!$D$36="★",G14/10,MIN(G14/'دليل المؤشرات'!$F$36,1)))*'دليل المؤشرات'!$E$36,1),0)))</f>
        <v>9</v>
      </c>
      <c r="N14" s="58">
        <f>IF($B14="","",IF(H14="","",IFERROR(ROUND(IF('دليل المؤشرات'!$D$37="↓",MIN('دليل المؤشرات'!$F$37/H14,1),IF('دليل المؤشرات'!$D$37="★",H14/10,MIN(H14/'دليل المؤشرات'!$F$37,1)))*'دليل المؤشرات'!$E$37,1),0)))</f>
        <v>7.5</v>
      </c>
      <c r="O14" s="59">
        <f t="shared" si="0"/>
        <v>56.9</v>
      </c>
      <c r="P14" s="35" t="str">
        <f t="shared" si="1"/>
        <v>يحتاج تطوير</v>
      </c>
    </row>
    <row r="15" spans="1:16" ht="21" customHeight="1" x14ac:dyDescent="0.45">
      <c r="A15" s="60">
        <v>12</v>
      </c>
      <c r="B15" s="61" t="s">
        <v>219</v>
      </c>
      <c r="C15" s="57">
        <v>61</v>
      </c>
      <c r="D15" s="57">
        <v>69.900000000000006</v>
      </c>
      <c r="E15" s="57">
        <v>6.4</v>
      </c>
      <c r="F15" s="57">
        <v>26.2</v>
      </c>
      <c r="G15" s="57">
        <v>57</v>
      </c>
      <c r="H15" s="57">
        <v>8</v>
      </c>
      <c r="I15" s="58">
        <f>IF($B15="","",IF(C15="","",IFERROR(ROUND(IF('دليل المؤشرات'!$D$32="↓",MIN('دليل المؤشرات'!$F$32/C15,1),IF('دليل المؤشرات'!$D$32="★",C15/10,MIN(C15/'دليل المؤشرات'!$F$32,1)))*'دليل المؤشرات'!$E$32,1),0)))</f>
        <v>13.6</v>
      </c>
      <c r="J15" s="58">
        <f>IF($B15="","",IF(D15="","",IFERROR(ROUND(IF('دليل المؤشرات'!$D$33="↓",MIN('دليل المؤشرات'!$F$33/D15,1),IF('دليل المؤشرات'!$D$33="★",D15/10,MIN(D15/'دليل المؤشرات'!$F$33,1)))*'دليل المؤشرات'!$E$33,1),0)))</f>
        <v>14.1</v>
      </c>
      <c r="K15" s="58">
        <f>IF($B15="","",IF(E15="","",IFERROR(ROUND(IF('دليل المؤشرات'!$D$34="↓",MIN('دليل المؤشرات'!$F$34/E15,1),IF('دليل المؤشرات'!$D$34="★",E15/10,MIN(E15/'دليل المؤشرات'!$F$34,1)))*'دليل المؤشرات'!$E$34,1),0)))</f>
        <v>11.7</v>
      </c>
      <c r="L15" s="58">
        <f>IF($B15="","",IF(F15="","",IFERROR(ROUND(IF('دليل المؤشرات'!$D$35="↓",MIN('دليل المؤشرات'!$F$35/F15,1),IF('دليل المؤشرات'!$D$35="★",F15/10,MIN(F15/'دليل المؤشرات'!$F$35,1)))*'دليل المؤشرات'!$E$35,1),0)))</f>
        <v>9.8000000000000007</v>
      </c>
      <c r="M15" s="58">
        <f>IF($B15="","",IF(G15="","",IFERROR(ROUND(IF('دليل المؤشرات'!$D$36="↓",MIN('دليل المؤشرات'!$F$36/G15,1),IF('دليل المؤشرات'!$D$36="★",G15/10,MIN(G15/'دليل المؤشرات'!$F$36,1)))*'دليل المؤشرات'!$E$36,1),0)))</f>
        <v>10.7</v>
      </c>
      <c r="N15" s="58">
        <f>IF($B15="","",IF(H15="","",IFERROR(ROUND(IF('دليل المؤشرات'!$D$37="↓",MIN('دليل المؤشرات'!$F$37/H15,1),IF('دليل المؤشرات'!$D$37="★",H15/10,MIN(H15/'دليل المؤشرات'!$F$37,1)))*'دليل المؤشرات'!$E$37,1),0)))</f>
        <v>12</v>
      </c>
      <c r="O15" s="59">
        <f t="shared" si="0"/>
        <v>71.900000000000006</v>
      </c>
      <c r="P15" s="39" t="str">
        <f t="shared" si="1"/>
        <v>يلبّي التوقعات</v>
      </c>
    </row>
    <row r="16" spans="1:16" ht="21" customHeight="1" x14ac:dyDescent="0.45">
      <c r="A16" s="55">
        <v>13</v>
      </c>
      <c r="B16" s="56" t="s">
        <v>220</v>
      </c>
      <c r="C16" s="57">
        <v>68</v>
      </c>
      <c r="D16" s="57">
        <v>88.9</v>
      </c>
      <c r="E16" s="57">
        <v>6.4</v>
      </c>
      <c r="F16" s="57">
        <v>34.6</v>
      </c>
      <c r="G16" s="57">
        <v>71</v>
      </c>
      <c r="H16" s="57">
        <v>8</v>
      </c>
      <c r="I16" s="58">
        <f>IF($B16="","",IF(C16="","",IFERROR(ROUND(IF('دليل المؤشرات'!$D$32="↓",MIN('دليل المؤشرات'!$F$32/C16,1),IF('دليل المؤشرات'!$D$32="★",C16/10,MIN(C16/'دليل المؤشرات'!$F$32,1)))*'دليل المؤشرات'!$E$32,1),0)))</f>
        <v>15.1</v>
      </c>
      <c r="J16" s="58">
        <f>IF($B16="","",IF(D16="","",IFERROR(ROUND(IF('دليل المؤشرات'!$D$33="↓",MIN('دليل المؤشرات'!$F$33/D16,1),IF('دليل المؤشرات'!$D$33="★",D16/10,MIN(D16/'دليل المؤشرات'!$F$33,1)))*'دليل المؤشرات'!$E$33,1),0)))</f>
        <v>17.899999999999999</v>
      </c>
      <c r="K16" s="58">
        <f>IF($B16="","",IF(E16="","",IFERROR(ROUND(IF('دليل المؤشرات'!$D$34="↓",MIN('دليل المؤشرات'!$F$34/E16,1),IF('دليل المؤشرات'!$D$34="★",E16/10,MIN(E16/'دليل المؤشرات'!$F$34,1)))*'دليل المؤشرات'!$E$34,1),0)))</f>
        <v>11.7</v>
      </c>
      <c r="L16" s="58">
        <f>IF($B16="","",IF(F16="","",IFERROR(ROUND(IF('دليل المؤشرات'!$D$35="↓",MIN('دليل المؤشرات'!$F$35/F16,1),IF('دليل المؤشرات'!$D$35="★",F16/10,MIN(F16/'دليل المؤشرات'!$F$35,1)))*'دليل المؤشرات'!$E$35,1),0)))</f>
        <v>13</v>
      </c>
      <c r="M16" s="58">
        <f>IF($B16="","",IF(G16="","",IFERROR(ROUND(IF('دليل المؤشرات'!$D$36="↓",MIN('دليل المؤشرات'!$F$36/G16,1),IF('دليل المؤشرات'!$D$36="★",G16/10,MIN(G16/'دليل المؤشرات'!$F$36,1)))*'دليل المؤشرات'!$E$36,1),0)))</f>
        <v>13.3</v>
      </c>
      <c r="N16" s="58">
        <f>IF($B16="","",IF(H16="","",IFERROR(ROUND(IF('دليل المؤشرات'!$D$37="↓",MIN('دليل المؤشرات'!$F$37/H16,1),IF('دليل المؤشرات'!$D$37="★",H16/10,MIN(H16/'دليل المؤشرات'!$F$37,1)))*'دليل المؤشرات'!$E$37,1),0)))</f>
        <v>12</v>
      </c>
      <c r="O16" s="59">
        <f t="shared" si="0"/>
        <v>83</v>
      </c>
      <c r="P16" s="35" t="str">
        <f t="shared" si="1"/>
        <v>يفوق التوقعات</v>
      </c>
    </row>
    <row r="17" spans="1:16" ht="21" customHeight="1" x14ac:dyDescent="0.45">
      <c r="A17" s="60">
        <v>14</v>
      </c>
      <c r="B17" s="61" t="s">
        <v>221</v>
      </c>
      <c r="C17" s="57">
        <v>76</v>
      </c>
      <c r="D17" s="57">
        <v>79</v>
      </c>
      <c r="E17" s="57">
        <v>6.8</v>
      </c>
      <c r="F17" s="57">
        <v>32.4</v>
      </c>
      <c r="G17" s="57">
        <v>60</v>
      </c>
      <c r="H17" s="57">
        <v>7</v>
      </c>
      <c r="I17" s="58">
        <f>IF($B17="","",IF(C17="","",IFERROR(ROUND(IF('دليل المؤشرات'!$D$32="↓",MIN('دليل المؤشرات'!$F$32/C17,1),IF('دليل المؤشرات'!$D$32="★",C17/10,MIN(C17/'دليل المؤشرات'!$F$32,1)))*'دليل المؤشرات'!$E$32,1),0)))</f>
        <v>16.899999999999999</v>
      </c>
      <c r="J17" s="58">
        <f>IF($B17="","",IF(D17="","",IFERROR(ROUND(IF('دليل المؤشرات'!$D$33="↓",MIN('دليل المؤشرات'!$F$33/D17,1),IF('دليل المؤشرات'!$D$33="★",D17/10,MIN(D17/'دليل المؤشرات'!$F$33,1)))*'دليل المؤشرات'!$E$33,1),0)))</f>
        <v>15.9</v>
      </c>
      <c r="K17" s="58">
        <f>IF($B17="","",IF(E17="","",IFERROR(ROUND(IF('دليل المؤشرات'!$D$34="↓",MIN('دليل المؤشرات'!$F$34/E17,1),IF('دليل المؤشرات'!$D$34="★",E17/10,MIN(E17/'دليل المؤشرات'!$F$34,1)))*'دليل المؤشرات'!$E$34,1),0)))</f>
        <v>11</v>
      </c>
      <c r="L17" s="58">
        <f>IF($B17="","",IF(F17="","",IFERROR(ROUND(IF('دليل المؤشرات'!$D$35="↓",MIN('دليل المؤشرات'!$F$35/F17,1),IF('دليل المؤشرات'!$D$35="★",F17/10,MIN(F17/'دليل المؤشرات'!$F$35,1)))*'دليل المؤشرات'!$E$35,1),0)))</f>
        <v>12.2</v>
      </c>
      <c r="M17" s="58">
        <f>IF($B17="","",IF(G17="","",IFERROR(ROUND(IF('دليل المؤشرات'!$D$36="↓",MIN('دليل المؤشرات'!$F$36/G17,1),IF('دليل المؤشرات'!$D$36="★",G17/10,MIN(G17/'دليل المؤشرات'!$F$36,1)))*'دليل المؤشرات'!$E$36,1),0)))</f>
        <v>11.3</v>
      </c>
      <c r="N17" s="58">
        <f>IF($B17="","",IF(H17="","",IFERROR(ROUND(IF('دليل المؤشرات'!$D$37="↓",MIN('دليل المؤشرات'!$F$37/H17,1),IF('دليل المؤشرات'!$D$37="★",H17/10,MIN(H17/'دليل المؤشرات'!$F$37,1)))*'دليل المؤشرات'!$E$37,1),0)))</f>
        <v>10.5</v>
      </c>
      <c r="O17" s="59">
        <f t="shared" si="0"/>
        <v>77.8</v>
      </c>
      <c r="P17" s="39" t="str">
        <f t="shared" si="1"/>
        <v>يفوق التوقعات</v>
      </c>
    </row>
    <row r="18" spans="1:16" ht="21" customHeight="1" x14ac:dyDescent="0.45">
      <c r="A18" s="55">
        <v>15</v>
      </c>
      <c r="B18" s="56" t="s">
        <v>222</v>
      </c>
      <c r="C18" s="57">
        <v>100</v>
      </c>
      <c r="D18" s="57">
        <v>95.8</v>
      </c>
      <c r="E18" s="57">
        <v>4.5999999999999996</v>
      </c>
      <c r="F18" s="57">
        <v>41.5</v>
      </c>
      <c r="G18" s="57">
        <v>88</v>
      </c>
      <c r="H18" s="57">
        <v>10</v>
      </c>
      <c r="I18" s="58">
        <f>IF($B18="","",IF(C18="","",IFERROR(ROUND(IF('دليل المؤشرات'!$D$32="↓",MIN('دليل المؤشرات'!$F$32/C18,1),IF('دليل المؤشرات'!$D$32="★",C18/10,MIN(C18/'دليل المؤشرات'!$F$32,1)))*'دليل المؤشرات'!$E$32,1),0)))</f>
        <v>20</v>
      </c>
      <c r="J18" s="58">
        <f>IF($B18="","",IF(D18="","",IFERROR(ROUND(IF('دليل المؤشرات'!$D$33="↓",MIN('دليل المؤشرات'!$F$33/D18,1),IF('دليل المؤشرات'!$D$33="★",D18/10,MIN(D18/'دليل المؤشرات'!$F$33,1)))*'دليل المؤشرات'!$E$33,1),0)))</f>
        <v>19.3</v>
      </c>
      <c r="K18" s="58">
        <f>IF($B18="","",IF(E18="","",IFERROR(ROUND(IF('دليل المؤشرات'!$D$34="↓",MIN('دليل المؤشرات'!$F$34/E18,1),IF('دليل المؤشرات'!$D$34="★",E18/10,MIN(E18/'دليل المؤشرات'!$F$34,1)))*'دليل المؤشرات'!$E$34,1),0)))</f>
        <v>15</v>
      </c>
      <c r="L18" s="58">
        <f>IF($B18="","",IF(F18="","",IFERROR(ROUND(IF('دليل المؤشرات'!$D$35="↓",MIN('دليل المؤشرات'!$F$35/F18,1),IF('دليل المؤشرات'!$D$35="★",F18/10,MIN(F18/'دليل المؤشرات'!$F$35,1)))*'دليل المؤشرات'!$E$35,1),0)))</f>
        <v>15</v>
      </c>
      <c r="M18" s="58">
        <f>IF($B18="","",IF(G18="","",IFERROR(ROUND(IF('دليل المؤشرات'!$D$36="↓",MIN('دليل المؤشرات'!$F$36/G18,1),IF('دليل المؤشرات'!$D$36="★",G18/10,MIN(G18/'دليل المؤشرات'!$F$36,1)))*'دليل المؤشرات'!$E$36,1),0)))</f>
        <v>15</v>
      </c>
      <c r="N18" s="58">
        <f>IF($B18="","",IF(H18="","",IFERROR(ROUND(IF('دليل المؤشرات'!$D$37="↓",MIN('دليل المؤشرات'!$F$37/H18,1),IF('دليل المؤشرات'!$D$37="★",H18/10,MIN(H18/'دليل المؤشرات'!$F$37,1)))*'دليل المؤشرات'!$E$37,1),0)))</f>
        <v>15</v>
      </c>
      <c r="O18" s="59">
        <f t="shared" si="0"/>
        <v>99.3</v>
      </c>
      <c r="P18" s="35" t="str">
        <f t="shared" si="1"/>
        <v>أداء متميز</v>
      </c>
    </row>
    <row r="19" spans="1:16" ht="21" customHeight="1" x14ac:dyDescent="0.45">
      <c r="A19" s="60">
        <v>16</v>
      </c>
      <c r="B19" s="61" t="s">
        <v>223</v>
      </c>
      <c r="C19" s="57">
        <v>69</v>
      </c>
      <c r="D19" s="57">
        <v>82.1</v>
      </c>
      <c r="E19" s="57">
        <v>6.7</v>
      </c>
      <c r="F19" s="57">
        <v>35.9</v>
      </c>
      <c r="G19" s="57">
        <v>63</v>
      </c>
      <c r="H19" s="57">
        <v>9</v>
      </c>
      <c r="I19" s="58">
        <f>IF($B19="","",IF(C19="","",IFERROR(ROUND(IF('دليل المؤشرات'!$D$32="↓",MIN('دليل المؤشرات'!$F$32/C19,1),IF('دليل المؤشرات'!$D$32="★",C19/10,MIN(C19/'دليل المؤشرات'!$F$32,1)))*'دليل المؤشرات'!$E$32,1),0)))</f>
        <v>15.3</v>
      </c>
      <c r="J19" s="58">
        <f>IF($B19="","",IF(D19="","",IFERROR(ROUND(IF('دليل المؤشرات'!$D$33="↓",MIN('دليل المؤشرات'!$F$33/D19,1),IF('دليل المؤشرات'!$D$33="★",D19/10,MIN(D19/'دليل المؤشرات'!$F$33,1)))*'دليل المؤشرات'!$E$33,1),0)))</f>
        <v>16.5</v>
      </c>
      <c r="K19" s="58">
        <f>IF($B19="","",IF(E19="","",IFERROR(ROUND(IF('دليل المؤشرات'!$D$34="↓",MIN('دليل المؤشرات'!$F$34/E19,1),IF('دليل المؤشرات'!$D$34="★",E19/10,MIN(E19/'دليل المؤشرات'!$F$34,1)))*'دليل المؤشرات'!$E$34,1),0)))</f>
        <v>11.2</v>
      </c>
      <c r="L19" s="58">
        <f>IF($B19="","",IF(F19="","",IFERROR(ROUND(IF('دليل المؤشرات'!$D$35="↓",MIN('دليل المؤشرات'!$F$35/F19,1),IF('دليل المؤشرات'!$D$35="★",F19/10,MIN(F19/'دليل المؤشرات'!$F$35,1)))*'دليل المؤشرات'!$E$35,1),0)))</f>
        <v>13.5</v>
      </c>
      <c r="M19" s="58">
        <f>IF($B19="","",IF(G19="","",IFERROR(ROUND(IF('دليل المؤشرات'!$D$36="↓",MIN('دليل المؤشرات'!$F$36/G19,1),IF('دليل المؤشرات'!$D$36="★",G19/10,MIN(G19/'دليل المؤشرات'!$F$36,1)))*'دليل المؤشرات'!$E$36,1),0)))</f>
        <v>11.8</v>
      </c>
      <c r="N19" s="58">
        <f>IF($B19="","",IF(H19="","",IFERROR(ROUND(IF('دليل المؤشرات'!$D$37="↓",MIN('دليل المؤشرات'!$F$37/H19,1),IF('دليل المؤشرات'!$D$37="★",H19/10,MIN(H19/'دليل المؤشرات'!$F$37,1)))*'دليل المؤشرات'!$E$37,1),0)))</f>
        <v>13.5</v>
      </c>
      <c r="O19" s="59">
        <f t="shared" si="0"/>
        <v>81.8</v>
      </c>
      <c r="P19" s="39" t="str">
        <f t="shared" si="1"/>
        <v>يفوق التوقعات</v>
      </c>
    </row>
    <row r="20" spans="1:16" ht="21" customHeight="1" x14ac:dyDescent="0.45">
      <c r="A20" s="55">
        <v>17</v>
      </c>
      <c r="B20" s="56" t="s">
        <v>224</v>
      </c>
      <c r="C20" s="57">
        <v>78</v>
      </c>
      <c r="D20" s="57">
        <v>93.1</v>
      </c>
      <c r="E20" s="57">
        <v>6.2</v>
      </c>
      <c r="F20" s="57">
        <v>33.299999999999997</v>
      </c>
      <c r="G20" s="57">
        <v>74</v>
      </c>
      <c r="H20" s="57">
        <v>8</v>
      </c>
      <c r="I20" s="58">
        <f>IF($B20="","",IF(C20="","",IFERROR(ROUND(IF('دليل المؤشرات'!$D$32="↓",MIN('دليل المؤشرات'!$F$32/C20,1),IF('دليل المؤشرات'!$D$32="★",C20/10,MIN(C20/'دليل المؤشرات'!$F$32,1)))*'دليل المؤشرات'!$E$32,1),0)))</f>
        <v>17.3</v>
      </c>
      <c r="J20" s="58">
        <f>IF($B20="","",IF(D20="","",IFERROR(ROUND(IF('دليل المؤشرات'!$D$33="↓",MIN('دليل المؤشرات'!$F$33/D20,1),IF('دليل المؤشرات'!$D$33="★",D20/10,MIN(D20/'دليل المؤشرات'!$F$33,1)))*'دليل المؤشرات'!$E$33,1),0)))</f>
        <v>18.7</v>
      </c>
      <c r="K20" s="58">
        <f>IF($B20="","",IF(E20="","",IFERROR(ROUND(IF('دليل المؤشرات'!$D$34="↓",MIN('دليل المؤشرات'!$F$34/E20,1),IF('دليل المؤشرات'!$D$34="★",E20/10,MIN(E20/'دليل المؤشرات'!$F$34,1)))*'دليل المؤشرات'!$E$34,1),0)))</f>
        <v>12.1</v>
      </c>
      <c r="L20" s="58">
        <f>IF($B20="","",IF(F20="","",IFERROR(ROUND(IF('دليل المؤشرات'!$D$35="↓",MIN('دليل المؤشرات'!$F$35/F20,1),IF('دليل المؤشرات'!$D$35="★",F20/10,MIN(F20/'دليل المؤشرات'!$F$35,1)))*'دليل المؤشرات'!$E$35,1),0)))</f>
        <v>12.5</v>
      </c>
      <c r="M20" s="58">
        <f>IF($B20="","",IF(G20="","",IFERROR(ROUND(IF('دليل المؤشرات'!$D$36="↓",MIN('دليل المؤشرات'!$F$36/G20,1),IF('دليل المؤشرات'!$D$36="★",G20/10,MIN(G20/'دليل المؤشرات'!$F$36,1)))*'دليل المؤشرات'!$E$36,1),0)))</f>
        <v>13.9</v>
      </c>
      <c r="N20" s="58">
        <f>IF($B20="","",IF(H20="","",IFERROR(ROUND(IF('دليل المؤشرات'!$D$37="↓",MIN('دليل المؤشرات'!$F$37/H20,1),IF('دليل المؤشرات'!$D$37="★",H20/10,MIN(H20/'دليل المؤشرات'!$F$37,1)))*'دليل المؤشرات'!$E$37,1),0)))</f>
        <v>12</v>
      </c>
      <c r="O20" s="59">
        <f t="shared" si="0"/>
        <v>86.5</v>
      </c>
      <c r="P20" s="35" t="str">
        <f t="shared" si="1"/>
        <v>يفوق التوقعات</v>
      </c>
    </row>
    <row r="21" spans="1:16" ht="21" customHeight="1" x14ac:dyDescent="0.45">
      <c r="A21" s="60">
        <v>18</v>
      </c>
      <c r="B21" s="61"/>
      <c r="C21" s="57"/>
      <c r="D21" s="57"/>
      <c r="E21" s="57"/>
      <c r="F21" s="57"/>
      <c r="G21" s="57"/>
      <c r="H21" s="57"/>
      <c r="I21" s="58" t="str">
        <f>IF($B21="","",IF(C21="","",IFERROR(ROUND(IF('دليل المؤشرات'!$D$32="↓",MIN('دليل المؤشرات'!$F$32/C21,1),IF('دليل المؤشرات'!$D$32="★",C21/10,MIN(C21/'دليل المؤشرات'!$F$32,1)))*'دليل المؤشرات'!$E$32,1),0)))</f>
        <v/>
      </c>
      <c r="J21" s="58" t="str">
        <f>IF($B21="","",IF(D21="","",IFERROR(ROUND(IF('دليل المؤشرات'!$D$33="↓",MIN('دليل المؤشرات'!$F$33/D21,1),IF('دليل المؤشرات'!$D$33="★",D21/10,MIN(D21/'دليل المؤشرات'!$F$33,1)))*'دليل المؤشرات'!$E$33,1),0)))</f>
        <v/>
      </c>
      <c r="K21" s="58" t="str">
        <f>IF($B21="","",IF(E21="","",IFERROR(ROUND(IF('دليل المؤشرات'!$D$34="↓",MIN('دليل المؤشرات'!$F$34/E21,1),IF('دليل المؤشرات'!$D$34="★",E21/10,MIN(E21/'دليل المؤشرات'!$F$34,1)))*'دليل المؤشرات'!$E$34,1),0)))</f>
        <v/>
      </c>
      <c r="L21" s="58" t="str">
        <f>IF($B21="","",IF(F21="","",IFERROR(ROUND(IF('دليل المؤشرات'!$D$35="↓",MIN('دليل المؤشرات'!$F$35/F21,1),IF('دليل المؤشرات'!$D$35="★",F21/10,MIN(F21/'دليل المؤشرات'!$F$35,1)))*'دليل المؤشرات'!$E$35,1),0)))</f>
        <v/>
      </c>
      <c r="M21" s="58" t="str">
        <f>IF($B21="","",IF(G21="","",IFERROR(ROUND(IF('دليل المؤشرات'!$D$36="↓",MIN('دليل المؤشرات'!$F$36/G21,1),IF('دليل المؤشرات'!$D$36="★",G21/10,MIN(G21/'دليل المؤشرات'!$F$36,1)))*'دليل المؤشرات'!$E$36,1),0)))</f>
        <v/>
      </c>
      <c r="N21" s="58" t="str">
        <f>IF($B21="","",IF(H21="","",IFERROR(ROUND(IF('دليل المؤشرات'!$D$37="↓",MIN('دليل المؤشرات'!$F$37/H21,1),IF('دليل المؤشرات'!$D$37="★",H21/10,MIN(H21/'دليل المؤشرات'!$F$37,1)))*'دليل المؤشرات'!$E$37,1),0)))</f>
        <v/>
      </c>
      <c r="O21" s="59" t="str">
        <f t="shared" si="0"/>
        <v/>
      </c>
      <c r="P21" s="39" t="str">
        <f t="shared" si="1"/>
        <v/>
      </c>
    </row>
    <row r="22" spans="1:16" ht="21" customHeight="1" x14ac:dyDescent="0.45">
      <c r="A22" s="55">
        <v>19</v>
      </c>
      <c r="B22" s="56"/>
      <c r="C22" s="57"/>
      <c r="D22" s="57"/>
      <c r="E22" s="57"/>
      <c r="F22" s="57"/>
      <c r="G22" s="57"/>
      <c r="H22" s="57"/>
      <c r="I22" s="58" t="str">
        <f>IF($B22="","",IF(C22="","",IFERROR(ROUND(IF('دليل المؤشرات'!$D$32="↓",MIN('دليل المؤشرات'!$F$32/C22,1),IF('دليل المؤشرات'!$D$32="★",C22/10,MIN(C22/'دليل المؤشرات'!$F$32,1)))*'دليل المؤشرات'!$E$32,1),0)))</f>
        <v/>
      </c>
      <c r="J22" s="58" t="str">
        <f>IF($B22="","",IF(D22="","",IFERROR(ROUND(IF('دليل المؤشرات'!$D$33="↓",MIN('دليل المؤشرات'!$F$33/D22,1),IF('دليل المؤشرات'!$D$33="★",D22/10,MIN(D22/'دليل المؤشرات'!$F$33,1)))*'دليل المؤشرات'!$E$33,1),0)))</f>
        <v/>
      </c>
      <c r="K22" s="58" t="str">
        <f>IF($B22="","",IF(E22="","",IFERROR(ROUND(IF('دليل المؤشرات'!$D$34="↓",MIN('دليل المؤشرات'!$F$34/E22,1),IF('دليل المؤشرات'!$D$34="★",E22/10,MIN(E22/'دليل المؤشرات'!$F$34,1)))*'دليل المؤشرات'!$E$34,1),0)))</f>
        <v/>
      </c>
      <c r="L22" s="58" t="str">
        <f>IF($B22="","",IF(F22="","",IFERROR(ROUND(IF('دليل المؤشرات'!$D$35="↓",MIN('دليل المؤشرات'!$F$35/F22,1),IF('دليل المؤشرات'!$D$35="★",F22/10,MIN(F22/'دليل المؤشرات'!$F$35,1)))*'دليل المؤشرات'!$E$35,1),0)))</f>
        <v/>
      </c>
      <c r="M22" s="58" t="str">
        <f>IF($B22="","",IF(G22="","",IFERROR(ROUND(IF('دليل المؤشرات'!$D$36="↓",MIN('دليل المؤشرات'!$F$36/G22,1),IF('دليل المؤشرات'!$D$36="★",G22/10,MIN(G22/'دليل المؤشرات'!$F$36,1)))*'دليل المؤشرات'!$E$36,1),0)))</f>
        <v/>
      </c>
      <c r="N22" s="58" t="str">
        <f>IF($B22="","",IF(H22="","",IFERROR(ROUND(IF('دليل المؤشرات'!$D$37="↓",MIN('دليل المؤشرات'!$F$37/H22,1),IF('دليل المؤشرات'!$D$37="★",H22/10,MIN(H22/'دليل المؤشرات'!$F$37,1)))*'دليل المؤشرات'!$E$37,1),0)))</f>
        <v/>
      </c>
      <c r="O22" s="59" t="str">
        <f t="shared" si="0"/>
        <v/>
      </c>
      <c r="P22" s="35" t="str">
        <f t="shared" si="1"/>
        <v/>
      </c>
    </row>
    <row r="23" spans="1:16" ht="21" customHeight="1" x14ac:dyDescent="0.45">
      <c r="A23" s="60">
        <v>20</v>
      </c>
      <c r="B23" s="61"/>
      <c r="C23" s="57"/>
      <c r="D23" s="57"/>
      <c r="E23" s="57"/>
      <c r="F23" s="57"/>
      <c r="G23" s="57"/>
      <c r="H23" s="57"/>
      <c r="I23" s="58" t="str">
        <f>IF($B23="","",IF(C23="","",IFERROR(ROUND(IF('دليل المؤشرات'!$D$32="↓",MIN('دليل المؤشرات'!$F$32/C23,1),IF('دليل المؤشرات'!$D$32="★",C23/10,MIN(C23/'دليل المؤشرات'!$F$32,1)))*'دليل المؤشرات'!$E$32,1),0)))</f>
        <v/>
      </c>
      <c r="J23" s="58" t="str">
        <f>IF($B23="","",IF(D23="","",IFERROR(ROUND(IF('دليل المؤشرات'!$D$33="↓",MIN('دليل المؤشرات'!$F$33/D23,1),IF('دليل المؤشرات'!$D$33="★",D23/10,MIN(D23/'دليل المؤشرات'!$F$33,1)))*'دليل المؤشرات'!$E$33,1),0)))</f>
        <v/>
      </c>
      <c r="K23" s="58" t="str">
        <f>IF($B23="","",IF(E23="","",IFERROR(ROUND(IF('دليل المؤشرات'!$D$34="↓",MIN('دليل المؤشرات'!$F$34/E23,1),IF('دليل المؤشرات'!$D$34="★",E23/10,MIN(E23/'دليل المؤشرات'!$F$34,1)))*'دليل المؤشرات'!$E$34,1),0)))</f>
        <v/>
      </c>
      <c r="L23" s="58" t="str">
        <f>IF($B23="","",IF(F23="","",IFERROR(ROUND(IF('دليل المؤشرات'!$D$35="↓",MIN('دليل المؤشرات'!$F$35/F23,1),IF('دليل المؤشرات'!$D$35="★",F23/10,MIN(F23/'دليل المؤشرات'!$F$35,1)))*'دليل المؤشرات'!$E$35,1),0)))</f>
        <v/>
      </c>
      <c r="M23" s="58" t="str">
        <f>IF($B23="","",IF(G23="","",IFERROR(ROUND(IF('دليل المؤشرات'!$D$36="↓",MIN('دليل المؤشرات'!$F$36/G23,1),IF('دليل المؤشرات'!$D$36="★",G23/10,MIN(G23/'دليل المؤشرات'!$F$36,1)))*'دليل المؤشرات'!$E$36,1),0)))</f>
        <v/>
      </c>
      <c r="N23" s="58" t="str">
        <f>IF($B23="","",IF(H23="","",IFERROR(ROUND(IF('دليل المؤشرات'!$D$37="↓",MIN('دليل المؤشرات'!$F$37/H23,1),IF('دليل المؤشرات'!$D$37="★",H23/10,MIN(H23/'دليل المؤشرات'!$F$37,1)))*'دليل المؤشرات'!$E$37,1),0)))</f>
        <v/>
      </c>
      <c r="O23" s="59" t="str">
        <f t="shared" si="0"/>
        <v/>
      </c>
      <c r="P23" s="39" t="str">
        <f t="shared" si="1"/>
        <v/>
      </c>
    </row>
    <row r="24" spans="1:16" ht="21" customHeight="1" x14ac:dyDescent="0.45">
      <c r="A24" s="55">
        <v>21</v>
      </c>
      <c r="B24" s="56"/>
      <c r="C24" s="57"/>
      <c r="D24" s="57"/>
      <c r="E24" s="57"/>
      <c r="F24" s="57"/>
      <c r="G24" s="57"/>
      <c r="H24" s="57"/>
      <c r="I24" s="58" t="str">
        <f>IF($B24="","",IF(C24="","",IFERROR(ROUND(IF('دليل المؤشرات'!$D$32="↓",MIN('دليل المؤشرات'!$F$32/C24,1),IF('دليل المؤشرات'!$D$32="★",C24/10,MIN(C24/'دليل المؤشرات'!$F$32,1)))*'دليل المؤشرات'!$E$32,1),0)))</f>
        <v/>
      </c>
      <c r="J24" s="58" t="str">
        <f>IF($B24="","",IF(D24="","",IFERROR(ROUND(IF('دليل المؤشرات'!$D$33="↓",MIN('دليل المؤشرات'!$F$33/D24,1),IF('دليل المؤشرات'!$D$33="★",D24/10,MIN(D24/'دليل المؤشرات'!$F$33,1)))*'دليل المؤشرات'!$E$33,1),0)))</f>
        <v/>
      </c>
      <c r="K24" s="58" t="str">
        <f>IF($B24="","",IF(E24="","",IFERROR(ROUND(IF('دليل المؤشرات'!$D$34="↓",MIN('دليل المؤشرات'!$F$34/E24,1),IF('دليل المؤشرات'!$D$34="★",E24/10,MIN(E24/'دليل المؤشرات'!$F$34,1)))*'دليل المؤشرات'!$E$34,1),0)))</f>
        <v/>
      </c>
      <c r="L24" s="58" t="str">
        <f>IF($B24="","",IF(F24="","",IFERROR(ROUND(IF('دليل المؤشرات'!$D$35="↓",MIN('دليل المؤشرات'!$F$35/F24,1),IF('دليل المؤشرات'!$D$35="★",F24/10,MIN(F24/'دليل المؤشرات'!$F$35,1)))*'دليل المؤشرات'!$E$35,1),0)))</f>
        <v/>
      </c>
      <c r="M24" s="58" t="str">
        <f>IF($B24="","",IF(G24="","",IFERROR(ROUND(IF('دليل المؤشرات'!$D$36="↓",MIN('دليل المؤشرات'!$F$36/G24,1),IF('دليل المؤشرات'!$D$36="★",G24/10,MIN(G24/'دليل المؤشرات'!$F$36,1)))*'دليل المؤشرات'!$E$36,1),0)))</f>
        <v/>
      </c>
      <c r="N24" s="58" t="str">
        <f>IF($B24="","",IF(H24="","",IFERROR(ROUND(IF('دليل المؤشرات'!$D$37="↓",MIN('دليل المؤشرات'!$F$37/H24,1),IF('دليل المؤشرات'!$D$37="★",H24/10,MIN(H24/'دليل المؤشرات'!$F$37,1)))*'دليل المؤشرات'!$E$37,1),0)))</f>
        <v/>
      </c>
      <c r="O24" s="59" t="str">
        <f t="shared" si="0"/>
        <v/>
      </c>
      <c r="P24" s="35" t="str">
        <f t="shared" si="1"/>
        <v/>
      </c>
    </row>
    <row r="25" spans="1:16" ht="21" customHeight="1" x14ac:dyDescent="0.45">
      <c r="A25" s="60">
        <v>22</v>
      </c>
      <c r="B25" s="61"/>
      <c r="C25" s="57"/>
      <c r="D25" s="57"/>
      <c r="E25" s="57"/>
      <c r="F25" s="57"/>
      <c r="G25" s="57"/>
      <c r="H25" s="57"/>
      <c r="I25" s="58" t="str">
        <f>IF($B25="","",IF(C25="","",IFERROR(ROUND(IF('دليل المؤشرات'!$D$32="↓",MIN('دليل المؤشرات'!$F$32/C25,1),IF('دليل المؤشرات'!$D$32="★",C25/10,MIN(C25/'دليل المؤشرات'!$F$32,1)))*'دليل المؤشرات'!$E$32,1),0)))</f>
        <v/>
      </c>
      <c r="J25" s="58" t="str">
        <f>IF($B25="","",IF(D25="","",IFERROR(ROUND(IF('دليل المؤشرات'!$D$33="↓",MIN('دليل المؤشرات'!$F$33/D25,1),IF('دليل المؤشرات'!$D$33="★",D25/10,MIN(D25/'دليل المؤشرات'!$F$33,1)))*'دليل المؤشرات'!$E$33,1),0)))</f>
        <v/>
      </c>
      <c r="K25" s="58" t="str">
        <f>IF($B25="","",IF(E25="","",IFERROR(ROUND(IF('دليل المؤشرات'!$D$34="↓",MIN('دليل المؤشرات'!$F$34/E25,1),IF('دليل المؤشرات'!$D$34="★",E25/10,MIN(E25/'دليل المؤشرات'!$F$34,1)))*'دليل المؤشرات'!$E$34,1),0)))</f>
        <v/>
      </c>
      <c r="L25" s="58" t="str">
        <f>IF($B25="","",IF(F25="","",IFERROR(ROUND(IF('دليل المؤشرات'!$D$35="↓",MIN('دليل المؤشرات'!$F$35/F25,1),IF('دليل المؤشرات'!$D$35="★",F25/10,MIN(F25/'دليل المؤشرات'!$F$35,1)))*'دليل المؤشرات'!$E$35,1),0)))</f>
        <v/>
      </c>
      <c r="M25" s="58" t="str">
        <f>IF($B25="","",IF(G25="","",IFERROR(ROUND(IF('دليل المؤشرات'!$D$36="↓",MIN('دليل المؤشرات'!$F$36/G25,1),IF('دليل المؤشرات'!$D$36="★",G25/10,MIN(G25/'دليل المؤشرات'!$F$36,1)))*'دليل المؤشرات'!$E$36,1),0)))</f>
        <v/>
      </c>
      <c r="N25" s="58" t="str">
        <f>IF($B25="","",IF(H25="","",IFERROR(ROUND(IF('دليل المؤشرات'!$D$37="↓",MIN('دليل المؤشرات'!$F$37/H25,1),IF('دليل المؤشرات'!$D$37="★",H25/10,MIN(H25/'دليل المؤشرات'!$F$37,1)))*'دليل المؤشرات'!$E$37,1),0)))</f>
        <v/>
      </c>
      <c r="O25" s="59" t="str">
        <f t="shared" si="0"/>
        <v/>
      </c>
      <c r="P25" s="39" t="str">
        <f t="shared" si="1"/>
        <v/>
      </c>
    </row>
    <row r="26" spans="1:16" ht="21" customHeight="1" x14ac:dyDescent="0.45">
      <c r="A26" s="55">
        <v>23</v>
      </c>
      <c r="B26" s="56"/>
      <c r="C26" s="57"/>
      <c r="D26" s="57"/>
      <c r="E26" s="57"/>
      <c r="F26" s="57"/>
      <c r="G26" s="57"/>
      <c r="H26" s="57"/>
      <c r="I26" s="58" t="str">
        <f>IF($B26="","",IF(C26="","",IFERROR(ROUND(IF('دليل المؤشرات'!$D$32="↓",MIN('دليل المؤشرات'!$F$32/C26,1),IF('دليل المؤشرات'!$D$32="★",C26/10,MIN(C26/'دليل المؤشرات'!$F$32,1)))*'دليل المؤشرات'!$E$32,1),0)))</f>
        <v/>
      </c>
      <c r="J26" s="58" t="str">
        <f>IF($B26="","",IF(D26="","",IFERROR(ROUND(IF('دليل المؤشرات'!$D$33="↓",MIN('دليل المؤشرات'!$F$33/D26,1),IF('دليل المؤشرات'!$D$33="★",D26/10,MIN(D26/'دليل المؤشرات'!$F$33,1)))*'دليل المؤشرات'!$E$33,1),0)))</f>
        <v/>
      </c>
      <c r="K26" s="58" t="str">
        <f>IF($B26="","",IF(E26="","",IFERROR(ROUND(IF('دليل المؤشرات'!$D$34="↓",MIN('دليل المؤشرات'!$F$34/E26,1),IF('دليل المؤشرات'!$D$34="★",E26/10,MIN(E26/'دليل المؤشرات'!$F$34,1)))*'دليل المؤشرات'!$E$34,1),0)))</f>
        <v/>
      </c>
      <c r="L26" s="58" t="str">
        <f>IF($B26="","",IF(F26="","",IFERROR(ROUND(IF('دليل المؤشرات'!$D$35="↓",MIN('دليل المؤشرات'!$F$35/F26,1),IF('دليل المؤشرات'!$D$35="★",F26/10,MIN(F26/'دليل المؤشرات'!$F$35,1)))*'دليل المؤشرات'!$E$35,1),0)))</f>
        <v/>
      </c>
      <c r="M26" s="58" t="str">
        <f>IF($B26="","",IF(G26="","",IFERROR(ROUND(IF('دليل المؤشرات'!$D$36="↓",MIN('دليل المؤشرات'!$F$36/G26,1),IF('دليل المؤشرات'!$D$36="★",G26/10,MIN(G26/'دليل المؤشرات'!$F$36,1)))*'دليل المؤشرات'!$E$36,1),0)))</f>
        <v/>
      </c>
      <c r="N26" s="58" t="str">
        <f>IF($B26="","",IF(H26="","",IFERROR(ROUND(IF('دليل المؤشرات'!$D$37="↓",MIN('دليل المؤشرات'!$F$37/H26,1),IF('دليل المؤشرات'!$D$37="★",H26/10,MIN(H26/'دليل المؤشرات'!$F$37,1)))*'دليل المؤشرات'!$E$37,1),0)))</f>
        <v/>
      </c>
      <c r="O26" s="59" t="str">
        <f t="shared" si="0"/>
        <v/>
      </c>
      <c r="P26" s="35" t="str">
        <f t="shared" si="1"/>
        <v/>
      </c>
    </row>
    <row r="27" spans="1:16" ht="21" customHeight="1" x14ac:dyDescent="0.45">
      <c r="A27" s="60">
        <v>24</v>
      </c>
      <c r="B27" s="61"/>
      <c r="C27" s="57"/>
      <c r="D27" s="57"/>
      <c r="E27" s="57"/>
      <c r="F27" s="57"/>
      <c r="G27" s="57"/>
      <c r="H27" s="57"/>
      <c r="I27" s="58" t="str">
        <f>IF($B27="","",IF(C27="","",IFERROR(ROUND(IF('دليل المؤشرات'!$D$32="↓",MIN('دليل المؤشرات'!$F$32/C27,1),IF('دليل المؤشرات'!$D$32="★",C27/10,MIN(C27/'دليل المؤشرات'!$F$32,1)))*'دليل المؤشرات'!$E$32,1),0)))</f>
        <v/>
      </c>
      <c r="J27" s="58" t="str">
        <f>IF($B27="","",IF(D27="","",IFERROR(ROUND(IF('دليل المؤشرات'!$D$33="↓",MIN('دليل المؤشرات'!$F$33/D27,1),IF('دليل المؤشرات'!$D$33="★",D27/10,MIN(D27/'دليل المؤشرات'!$F$33,1)))*'دليل المؤشرات'!$E$33,1),0)))</f>
        <v/>
      </c>
      <c r="K27" s="58" t="str">
        <f>IF($B27="","",IF(E27="","",IFERROR(ROUND(IF('دليل المؤشرات'!$D$34="↓",MIN('دليل المؤشرات'!$F$34/E27,1),IF('دليل المؤشرات'!$D$34="★",E27/10,MIN(E27/'دليل المؤشرات'!$F$34,1)))*'دليل المؤشرات'!$E$34,1),0)))</f>
        <v/>
      </c>
      <c r="L27" s="58" t="str">
        <f>IF($B27="","",IF(F27="","",IFERROR(ROUND(IF('دليل المؤشرات'!$D$35="↓",MIN('دليل المؤشرات'!$F$35/F27,1),IF('دليل المؤشرات'!$D$35="★",F27/10,MIN(F27/'دليل المؤشرات'!$F$35,1)))*'دليل المؤشرات'!$E$35,1),0)))</f>
        <v/>
      </c>
      <c r="M27" s="58" t="str">
        <f>IF($B27="","",IF(G27="","",IFERROR(ROUND(IF('دليل المؤشرات'!$D$36="↓",MIN('دليل المؤشرات'!$F$36/G27,1),IF('دليل المؤشرات'!$D$36="★",G27/10,MIN(G27/'دليل المؤشرات'!$F$36,1)))*'دليل المؤشرات'!$E$36,1),0)))</f>
        <v/>
      </c>
      <c r="N27" s="58" t="str">
        <f>IF($B27="","",IF(H27="","",IFERROR(ROUND(IF('دليل المؤشرات'!$D$37="↓",MIN('دليل المؤشرات'!$F$37/H27,1),IF('دليل المؤشرات'!$D$37="★",H27/10,MIN(H27/'دليل المؤشرات'!$F$37,1)))*'دليل المؤشرات'!$E$37,1),0)))</f>
        <v/>
      </c>
      <c r="O27" s="59" t="str">
        <f t="shared" si="0"/>
        <v/>
      </c>
      <c r="P27" s="39" t="str">
        <f t="shared" si="1"/>
        <v/>
      </c>
    </row>
    <row r="28" spans="1:16" ht="21" customHeight="1" x14ac:dyDescent="0.45">
      <c r="A28" s="55">
        <v>25</v>
      </c>
      <c r="B28" s="56"/>
      <c r="C28" s="57"/>
      <c r="D28" s="57"/>
      <c r="E28" s="57"/>
      <c r="F28" s="57"/>
      <c r="G28" s="57"/>
      <c r="H28" s="57"/>
      <c r="I28" s="58" t="str">
        <f>IF($B28="","",IF(C28="","",IFERROR(ROUND(IF('دليل المؤشرات'!$D$32="↓",MIN('دليل المؤشرات'!$F$32/C28,1),IF('دليل المؤشرات'!$D$32="★",C28/10,MIN(C28/'دليل المؤشرات'!$F$32,1)))*'دليل المؤشرات'!$E$32,1),0)))</f>
        <v/>
      </c>
      <c r="J28" s="58" t="str">
        <f>IF($B28="","",IF(D28="","",IFERROR(ROUND(IF('دليل المؤشرات'!$D$33="↓",MIN('دليل المؤشرات'!$F$33/D28,1),IF('دليل المؤشرات'!$D$33="★",D28/10,MIN(D28/'دليل المؤشرات'!$F$33,1)))*'دليل المؤشرات'!$E$33,1),0)))</f>
        <v/>
      </c>
      <c r="K28" s="58" t="str">
        <f>IF($B28="","",IF(E28="","",IFERROR(ROUND(IF('دليل المؤشرات'!$D$34="↓",MIN('دليل المؤشرات'!$F$34/E28,1),IF('دليل المؤشرات'!$D$34="★",E28/10,MIN(E28/'دليل المؤشرات'!$F$34,1)))*'دليل المؤشرات'!$E$34,1),0)))</f>
        <v/>
      </c>
      <c r="L28" s="58" t="str">
        <f>IF($B28="","",IF(F28="","",IFERROR(ROUND(IF('دليل المؤشرات'!$D$35="↓",MIN('دليل المؤشرات'!$F$35/F28,1),IF('دليل المؤشرات'!$D$35="★",F28/10,MIN(F28/'دليل المؤشرات'!$F$35,1)))*'دليل المؤشرات'!$E$35,1),0)))</f>
        <v/>
      </c>
      <c r="M28" s="58" t="str">
        <f>IF($B28="","",IF(G28="","",IFERROR(ROUND(IF('دليل المؤشرات'!$D$36="↓",MIN('دليل المؤشرات'!$F$36/G28,1),IF('دليل المؤشرات'!$D$36="★",G28/10,MIN(G28/'دليل المؤشرات'!$F$36,1)))*'دليل المؤشرات'!$E$36,1),0)))</f>
        <v/>
      </c>
      <c r="N28" s="58" t="str">
        <f>IF($B28="","",IF(H28="","",IFERROR(ROUND(IF('دليل المؤشرات'!$D$37="↓",MIN('دليل المؤشرات'!$F$37/H28,1),IF('دليل المؤشرات'!$D$37="★",H28/10,MIN(H28/'دليل المؤشرات'!$F$37,1)))*'دليل المؤشرات'!$E$37,1),0)))</f>
        <v/>
      </c>
      <c r="O28" s="59" t="str">
        <f t="shared" si="0"/>
        <v/>
      </c>
      <c r="P28" s="35" t="str">
        <f t="shared" si="1"/>
        <v/>
      </c>
    </row>
    <row r="30" spans="1:16" ht="15" x14ac:dyDescent="0.45">
      <c r="B30" s="89" t="s">
        <v>149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62">
        <f>IFERROR(ROUND(AVERAGE(O4:O28),1),0)</f>
        <v>84.3</v>
      </c>
      <c r="P30" s="27" t="str">
        <f>COUNTA(B4:B28)&amp;" موظف"</f>
        <v>17 موظف</v>
      </c>
    </row>
  </sheetData>
  <mergeCells count="2">
    <mergeCell ref="A1:P1"/>
    <mergeCell ref="B30:N30"/>
  </mergeCells>
  <conditionalFormatting sqref="O4:O28">
    <cfRule type="colorScale" priority="2">
      <colorScale>
        <cfvo type="num" val="40"/>
        <cfvo type="num" val="70"/>
        <cfvo type="num" val="95"/>
        <color rgb="FFF2A9A2"/>
        <color rgb="FFFBE3A6"/>
        <color rgb="FFA6D2B4"/>
      </colorScale>
    </cfRule>
  </conditionalFormatting>
  <dataValidations count="1">
    <dataValidation type="whole" allowBlank="1" sqref="H4:H28" xr:uid="{00000000-0002-0000-0700-000000000000}">
      <formula1>1</formula1>
      <formula2>10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30"/>
  <sheetViews>
    <sheetView showGridLines="0"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P1"/>
    </sheetView>
  </sheetViews>
  <sheetFormatPr defaultColWidth="8.6640625" defaultRowHeight="14.25" x14ac:dyDescent="0.45"/>
  <cols>
    <col min="1" max="1" width="3.46484375" customWidth="1"/>
    <col min="2" max="2" width="22" customWidth="1"/>
    <col min="3" max="8" width="13" customWidth="1"/>
    <col min="9" max="14" width="6.53125" customWidth="1"/>
    <col min="15" max="15" width="11" customWidth="1"/>
    <col min="16" max="16" width="15" customWidth="1"/>
  </cols>
  <sheetData>
    <row r="1" spans="1:16" ht="33.75" customHeight="1" x14ac:dyDescent="0.45">
      <c r="A1" s="86" t="s">
        <v>225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42" customHeight="1" x14ac:dyDescent="0.45">
      <c r="A2" s="48" t="s">
        <v>121</v>
      </c>
      <c r="B2" s="34" t="s">
        <v>122</v>
      </c>
      <c r="C2" s="49" t="s">
        <v>113</v>
      </c>
      <c r="D2" s="49" t="s">
        <v>114</v>
      </c>
      <c r="E2" s="49" t="s">
        <v>115</v>
      </c>
      <c r="F2" s="49" t="s">
        <v>116</v>
      </c>
      <c r="G2" s="49" t="s">
        <v>117</v>
      </c>
      <c r="H2" s="49" t="s">
        <v>118</v>
      </c>
      <c r="I2" s="50" t="s">
        <v>123</v>
      </c>
      <c r="J2" s="50" t="s">
        <v>124</v>
      </c>
      <c r="K2" s="50" t="s">
        <v>125</v>
      </c>
      <c r="L2" s="50" t="s">
        <v>126</v>
      </c>
      <c r="M2" s="50" t="s">
        <v>127</v>
      </c>
      <c r="N2" s="50" t="s">
        <v>128</v>
      </c>
      <c r="O2" s="51" t="s">
        <v>21</v>
      </c>
      <c r="P2" s="51" t="s">
        <v>12</v>
      </c>
    </row>
    <row r="3" spans="1:16" ht="18" customHeight="1" x14ac:dyDescent="0.45">
      <c r="A3" s="47"/>
      <c r="B3" s="52" t="s">
        <v>129</v>
      </c>
      <c r="C3" s="53">
        <f>'دليل المؤشرات'!F39</f>
        <v>90</v>
      </c>
      <c r="D3" s="53">
        <f>'دليل المؤشرات'!F40</f>
        <v>98</v>
      </c>
      <c r="E3" s="53">
        <f>'دليل المؤشرات'!F41</f>
        <v>100</v>
      </c>
      <c r="F3" s="53">
        <f>'دليل المؤشرات'!F42</f>
        <v>5</v>
      </c>
      <c r="G3" s="53">
        <f>'دليل المؤشرات'!F43</f>
        <v>100</v>
      </c>
      <c r="H3" s="53">
        <f>'دليل المؤشرات'!F44</f>
        <v>100</v>
      </c>
      <c r="I3" s="54">
        <f>'دليل المؤشرات'!E39</f>
        <v>25</v>
      </c>
      <c r="J3" s="54">
        <f>'دليل المؤشرات'!E40</f>
        <v>20</v>
      </c>
      <c r="K3" s="54">
        <f>'دليل المؤشرات'!E41</f>
        <v>20</v>
      </c>
      <c r="L3" s="54">
        <f>'دليل المؤشرات'!E42</f>
        <v>15</v>
      </c>
      <c r="M3" s="54">
        <f>'دليل المؤشرات'!E43</f>
        <v>10</v>
      </c>
      <c r="N3" s="54">
        <f>'دليل المؤشرات'!E44</f>
        <v>10</v>
      </c>
      <c r="O3" s="30" t="s">
        <v>130</v>
      </c>
      <c r="P3" s="47"/>
    </row>
    <row r="4" spans="1:16" ht="21" customHeight="1" x14ac:dyDescent="0.45">
      <c r="A4" s="55">
        <v>1</v>
      </c>
      <c r="B4" s="56" t="s">
        <v>226</v>
      </c>
      <c r="C4" s="57">
        <v>72</v>
      </c>
      <c r="D4" s="57">
        <v>87</v>
      </c>
      <c r="E4" s="57">
        <v>89</v>
      </c>
      <c r="F4" s="57">
        <v>6.6</v>
      </c>
      <c r="G4" s="57">
        <v>75</v>
      </c>
      <c r="H4" s="57">
        <v>80</v>
      </c>
      <c r="I4" s="58">
        <f>IF($B4="","",IF(C4="","",IFERROR(ROUND(IF('دليل المؤشرات'!$D$39="↓",MIN('دليل المؤشرات'!$F$39/C4,1),IF('دليل المؤشرات'!$D$39="★",C4/10,MIN(C4/'دليل المؤشرات'!$F$39,1)))*'دليل المؤشرات'!$E$39,1),0)))</f>
        <v>20</v>
      </c>
      <c r="J4" s="58">
        <f>IF($B4="","",IF(D4="","",IFERROR(ROUND(IF('دليل المؤشرات'!$D$40="↓",MIN('دليل المؤشرات'!$F$40/D4,1),IF('دليل المؤشرات'!$D$40="★",D4/10,MIN(D4/'دليل المؤشرات'!$F$40,1)))*'دليل المؤشرات'!$E$40,1),0)))</f>
        <v>17.8</v>
      </c>
      <c r="K4" s="58">
        <f>IF($B4="","",IF(E4="","",IFERROR(ROUND(IF('دليل المؤشرات'!$D$41="↓",MIN('دليل المؤشرات'!$F$41/E4,1),IF('دليل المؤشرات'!$D$41="★",E4/10,MIN(E4/'دليل المؤشرات'!$F$41,1)))*'دليل المؤشرات'!$E$41,1),0)))</f>
        <v>17.8</v>
      </c>
      <c r="L4" s="58">
        <f>IF($B4="","",IF(F4="","",IFERROR(ROUND(IF('دليل المؤشرات'!$D$42="↓",MIN('دليل المؤشرات'!$F$42/F4,1),IF('دليل المؤشرات'!$D$42="★",F4/10,MIN(F4/'دليل المؤشرات'!$F$42,1)))*'دليل المؤشرات'!$E$42,1),0)))</f>
        <v>11.4</v>
      </c>
      <c r="M4" s="58">
        <f>IF($B4="","",IF(G4="","",IFERROR(ROUND(IF('دليل المؤشرات'!$D$43="↓",MIN('دليل المؤشرات'!$F$43/G4,1),IF('دليل المؤشرات'!$D$43="★",G4/10,MIN(G4/'دليل المؤشرات'!$F$43,1)))*'دليل المؤشرات'!$E$43,1),0)))</f>
        <v>7.5</v>
      </c>
      <c r="N4" s="58">
        <f>IF($B4="","",IF(H4="","",IFERROR(ROUND(IF('دليل المؤشرات'!$D$44="↓",MIN('دليل المؤشرات'!$F$44/H4,1),IF('دليل المؤشرات'!$D$44="★",H4/10,MIN(H4/'دليل المؤشرات'!$F$44,1)))*'دليل المؤشرات'!$E$44,1),0)))</f>
        <v>8</v>
      </c>
      <c r="O4" s="59">
        <f t="shared" ref="O4:O28" si="0">IF(B4="","",ROUND(SUM(I4:N4),1))</f>
        <v>82.5</v>
      </c>
      <c r="P4" s="35" t="str">
        <f t="shared" ref="P4:P28" si="1">IF(O4="","",IF(O4&gt;=90,"أداء متميز",IF(O4&gt;=75,"يفوق التوقعات",IF(O4&gt;=60,"يلبّي التوقعات",IF(O4&gt;=45,"يحتاج تطوير","غير مُرضٍ")))))</f>
        <v>يفوق التوقعات</v>
      </c>
    </row>
    <row r="5" spans="1:16" ht="21" customHeight="1" x14ac:dyDescent="0.45">
      <c r="A5" s="60">
        <v>2</v>
      </c>
      <c r="B5" s="61" t="s">
        <v>227</v>
      </c>
      <c r="C5" s="57">
        <v>86</v>
      </c>
      <c r="D5" s="57">
        <v>85</v>
      </c>
      <c r="E5" s="57">
        <v>87</v>
      </c>
      <c r="F5" s="57">
        <v>5.8</v>
      </c>
      <c r="G5" s="57">
        <v>86</v>
      </c>
      <c r="H5" s="57">
        <v>86</v>
      </c>
      <c r="I5" s="58">
        <f>IF($B5="","",IF(C5="","",IFERROR(ROUND(IF('دليل المؤشرات'!$D$39="↓",MIN('دليل المؤشرات'!$F$39/C5,1),IF('دليل المؤشرات'!$D$39="★",C5/10,MIN(C5/'دليل المؤشرات'!$F$39,1)))*'دليل المؤشرات'!$E$39,1),0)))</f>
        <v>23.9</v>
      </c>
      <c r="J5" s="58">
        <f>IF($B5="","",IF(D5="","",IFERROR(ROUND(IF('دليل المؤشرات'!$D$40="↓",MIN('دليل المؤشرات'!$F$40/D5,1),IF('دليل المؤشرات'!$D$40="★",D5/10,MIN(D5/'دليل المؤشرات'!$F$40,1)))*'دليل المؤشرات'!$E$40,1),0)))</f>
        <v>17.3</v>
      </c>
      <c r="K5" s="58">
        <f>IF($B5="","",IF(E5="","",IFERROR(ROUND(IF('دليل المؤشرات'!$D$41="↓",MIN('دليل المؤشرات'!$F$41/E5,1),IF('دليل المؤشرات'!$D$41="★",E5/10,MIN(E5/'دليل المؤشرات'!$F$41,1)))*'دليل المؤشرات'!$E$41,1),0)))</f>
        <v>17.399999999999999</v>
      </c>
      <c r="L5" s="58">
        <f>IF($B5="","",IF(F5="","",IFERROR(ROUND(IF('دليل المؤشرات'!$D$42="↓",MIN('دليل المؤشرات'!$F$42/F5,1),IF('دليل المؤشرات'!$D$42="★",F5/10,MIN(F5/'دليل المؤشرات'!$F$42,1)))*'دليل المؤشرات'!$E$42,1),0)))</f>
        <v>12.9</v>
      </c>
      <c r="M5" s="58">
        <f>IF($B5="","",IF(G5="","",IFERROR(ROUND(IF('دليل المؤشرات'!$D$43="↓",MIN('دليل المؤشرات'!$F$43/G5,1),IF('دليل المؤشرات'!$D$43="★",G5/10,MIN(G5/'دليل المؤشرات'!$F$43,1)))*'دليل المؤشرات'!$E$43,1),0)))</f>
        <v>8.6</v>
      </c>
      <c r="N5" s="58">
        <f>IF($B5="","",IF(H5="","",IFERROR(ROUND(IF('دليل المؤشرات'!$D$44="↓",MIN('دليل المؤشرات'!$F$44/H5,1),IF('دليل المؤشرات'!$D$44="★",H5/10,MIN(H5/'دليل المؤشرات'!$F$44,1)))*'دليل المؤشرات'!$E$44,1),0)))</f>
        <v>8.6</v>
      </c>
      <c r="O5" s="59">
        <f t="shared" si="0"/>
        <v>88.7</v>
      </c>
      <c r="P5" s="39" t="str">
        <f t="shared" si="1"/>
        <v>يفوق التوقعات</v>
      </c>
    </row>
    <row r="6" spans="1:16" ht="21" customHeight="1" x14ac:dyDescent="0.45">
      <c r="A6" s="55">
        <v>3</v>
      </c>
      <c r="B6" s="56" t="s">
        <v>228</v>
      </c>
      <c r="C6" s="57">
        <v>63</v>
      </c>
      <c r="D6" s="57">
        <v>69</v>
      </c>
      <c r="E6" s="57">
        <v>72</v>
      </c>
      <c r="F6" s="57">
        <v>6.2</v>
      </c>
      <c r="G6" s="57">
        <v>70</v>
      </c>
      <c r="H6" s="57">
        <v>68</v>
      </c>
      <c r="I6" s="58">
        <f>IF($B6="","",IF(C6="","",IFERROR(ROUND(IF('دليل المؤشرات'!$D$39="↓",MIN('دليل المؤشرات'!$F$39/C6,1),IF('دليل المؤشرات'!$D$39="★",C6/10,MIN(C6/'دليل المؤشرات'!$F$39,1)))*'دليل المؤشرات'!$E$39,1),0)))</f>
        <v>17.5</v>
      </c>
      <c r="J6" s="58">
        <f>IF($B6="","",IF(D6="","",IFERROR(ROUND(IF('دليل المؤشرات'!$D$40="↓",MIN('دليل المؤشرات'!$F$40/D6,1),IF('دليل المؤشرات'!$D$40="★",D6/10,MIN(D6/'دليل المؤشرات'!$F$40,1)))*'دليل المؤشرات'!$E$40,1),0)))</f>
        <v>14.1</v>
      </c>
      <c r="K6" s="58">
        <f>IF($B6="","",IF(E6="","",IFERROR(ROUND(IF('دليل المؤشرات'!$D$41="↓",MIN('دليل المؤشرات'!$F$41/E6,1),IF('دليل المؤشرات'!$D$41="★",E6/10,MIN(E6/'دليل المؤشرات'!$F$41,1)))*'دليل المؤشرات'!$E$41,1),0)))</f>
        <v>14.4</v>
      </c>
      <c r="L6" s="58">
        <f>IF($B6="","",IF(F6="","",IFERROR(ROUND(IF('دليل المؤشرات'!$D$42="↓",MIN('دليل المؤشرات'!$F$42/F6,1),IF('دليل المؤشرات'!$D$42="★",F6/10,MIN(F6/'دليل المؤشرات'!$F$42,1)))*'دليل المؤشرات'!$E$42,1),0)))</f>
        <v>12.1</v>
      </c>
      <c r="M6" s="58">
        <f>IF($B6="","",IF(G6="","",IFERROR(ROUND(IF('دليل المؤشرات'!$D$43="↓",MIN('دليل المؤشرات'!$F$43/G6,1),IF('دليل المؤشرات'!$D$43="★",G6/10,MIN(G6/'دليل المؤشرات'!$F$43,1)))*'دليل المؤشرات'!$E$43,1),0)))</f>
        <v>7</v>
      </c>
      <c r="N6" s="58">
        <f>IF($B6="","",IF(H6="","",IFERROR(ROUND(IF('دليل المؤشرات'!$D$44="↓",MIN('دليل المؤشرات'!$F$44/H6,1),IF('دليل المؤشرات'!$D$44="★",H6/10,MIN(H6/'دليل المؤشرات'!$F$44,1)))*'دليل المؤشرات'!$E$44,1),0)))</f>
        <v>6.8</v>
      </c>
      <c r="O6" s="59">
        <f t="shared" si="0"/>
        <v>71.900000000000006</v>
      </c>
      <c r="P6" s="35" t="str">
        <f t="shared" si="1"/>
        <v>يلبّي التوقعات</v>
      </c>
    </row>
    <row r="7" spans="1:16" ht="21" customHeight="1" x14ac:dyDescent="0.45">
      <c r="A7" s="60">
        <v>4</v>
      </c>
      <c r="B7" s="61" t="s">
        <v>229</v>
      </c>
      <c r="C7" s="57">
        <v>76</v>
      </c>
      <c r="D7" s="57">
        <v>74</v>
      </c>
      <c r="E7" s="57">
        <v>81</v>
      </c>
      <c r="F7" s="57">
        <v>6.7</v>
      </c>
      <c r="G7" s="57">
        <v>74</v>
      </c>
      <c r="H7" s="57">
        <v>88</v>
      </c>
      <c r="I7" s="58">
        <f>IF($B7="","",IF(C7="","",IFERROR(ROUND(IF('دليل المؤشرات'!$D$39="↓",MIN('دليل المؤشرات'!$F$39/C7,1),IF('دليل المؤشرات'!$D$39="★",C7/10,MIN(C7/'دليل المؤشرات'!$F$39,1)))*'دليل المؤشرات'!$E$39,1),0)))</f>
        <v>21.1</v>
      </c>
      <c r="J7" s="58">
        <f>IF($B7="","",IF(D7="","",IFERROR(ROUND(IF('دليل المؤشرات'!$D$40="↓",MIN('دليل المؤشرات'!$F$40/D7,1),IF('دليل المؤشرات'!$D$40="★",D7/10,MIN(D7/'دليل المؤشرات'!$F$40,1)))*'دليل المؤشرات'!$E$40,1),0)))</f>
        <v>15.1</v>
      </c>
      <c r="K7" s="58">
        <f>IF($B7="","",IF(E7="","",IFERROR(ROUND(IF('دليل المؤشرات'!$D$41="↓",MIN('دليل المؤشرات'!$F$41/E7,1),IF('دليل المؤشرات'!$D$41="★",E7/10,MIN(E7/'دليل المؤشرات'!$F$41,1)))*'دليل المؤشرات'!$E$41,1),0)))</f>
        <v>16.2</v>
      </c>
      <c r="L7" s="58">
        <f>IF($B7="","",IF(F7="","",IFERROR(ROUND(IF('دليل المؤشرات'!$D$42="↓",MIN('دليل المؤشرات'!$F$42/F7,1),IF('دليل المؤشرات'!$D$42="★",F7/10,MIN(F7/'دليل المؤشرات'!$F$42,1)))*'دليل المؤشرات'!$E$42,1),0)))</f>
        <v>11.2</v>
      </c>
      <c r="M7" s="58">
        <f>IF($B7="","",IF(G7="","",IFERROR(ROUND(IF('دليل المؤشرات'!$D$43="↓",MIN('دليل المؤشرات'!$F$43/G7,1),IF('دليل المؤشرات'!$D$43="★",G7/10,MIN(G7/'دليل المؤشرات'!$F$43,1)))*'دليل المؤشرات'!$E$43,1),0)))</f>
        <v>7.4</v>
      </c>
      <c r="N7" s="58">
        <f>IF($B7="","",IF(H7="","",IFERROR(ROUND(IF('دليل المؤشرات'!$D$44="↓",MIN('دليل المؤشرات'!$F$44/H7,1),IF('دليل المؤشرات'!$D$44="★",H7/10,MIN(H7/'دليل المؤشرات'!$F$44,1)))*'دليل المؤشرات'!$E$44,1),0)))</f>
        <v>8.8000000000000007</v>
      </c>
      <c r="O7" s="59">
        <f t="shared" si="0"/>
        <v>79.8</v>
      </c>
      <c r="P7" s="39" t="str">
        <f t="shared" si="1"/>
        <v>يفوق التوقعات</v>
      </c>
    </row>
    <row r="8" spans="1:16" ht="21" customHeight="1" x14ac:dyDescent="0.45">
      <c r="A8" s="55">
        <v>5</v>
      </c>
      <c r="B8" s="56" t="s">
        <v>230</v>
      </c>
      <c r="C8" s="57">
        <v>91</v>
      </c>
      <c r="D8" s="57">
        <v>83</v>
      </c>
      <c r="E8" s="57">
        <v>90</v>
      </c>
      <c r="F8" s="57">
        <v>5.8</v>
      </c>
      <c r="G8" s="57">
        <v>88</v>
      </c>
      <c r="H8" s="57">
        <v>103</v>
      </c>
      <c r="I8" s="58">
        <f>IF($B8="","",IF(C8="","",IFERROR(ROUND(IF('دليل المؤشرات'!$D$39="↓",MIN('دليل المؤشرات'!$F$39/C8,1),IF('دليل المؤشرات'!$D$39="★",C8/10,MIN(C8/'دليل المؤشرات'!$F$39,1)))*'دليل المؤشرات'!$E$39,1),0)))</f>
        <v>25</v>
      </c>
      <c r="J8" s="58">
        <f>IF($B8="","",IF(D8="","",IFERROR(ROUND(IF('دليل المؤشرات'!$D$40="↓",MIN('دليل المؤشرات'!$F$40/D8,1),IF('دليل المؤشرات'!$D$40="★",D8/10,MIN(D8/'دليل المؤشرات'!$F$40,1)))*'دليل المؤشرات'!$E$40,1),0)))</f>
        <v>16.899999999999999</v>
      </c>
      <c r="K8" s="58">
        <f>IF($B8="","",IF(E8="","",IFERROR(ROUND(IF('دليل المؤشرات'!$D$41="↓",MIN('دليل المؤشرات'!$F$41/E8,1),IF('دليل المؤشرات'!$D$41="★",E8/10,MIN(E8/'دليل المؤشرات'!$F$41,1)))*'دليل المؤشرات'!$E$41,1),0)))</f>
        <v>18</v>
      </c>
      <c r="L8" s="58">
        <f>IF($B8="","",IF(F8="","",IFERROR(ROUND(IF('دليل المؤشرات'!$D$42="↓",MIN('دليل المؤشرات'!$F$42/F8,1),IF('دليل المؤشرات'!$D$42="★",F8/10,MIN(F8/'دليل المؤشرات'!$F$42,1)))*'دليل المؤشرات'!$E$42,1),0)))</f>
        <v>12.9</v>
      </c>
      <c r="M8" s="58">
        <f>IF($B8="","",IF(G8="","",IFERROR(ROUND(IF('دليل المؤشرات'!$D$43="↓",MIN('دليل المؤشرات'!$F$43/G8,1),IF('دليل المؤشرات'!$D$43="★",G8/10,MIN(G8/'دليل المؤشرات'!$F$43,1)))*'دليل المؤشرات'!$E$43,1),0)))</f>
        <v>8.8000000000000007</v>
      </c>
      <c r="N8" s="58">
        <f>IF($B8="","",IF(H8="","",IFERROR(ROUND(IF('دليل المؤشرات'!$D$44="↓",MIN('دليل المؤشرات'!$F$44/H8,1),IF('دليل المؤشرات'!$D$44="★",H8/10,MIN(H8/'دليل المؤشرات'!$F$44,1)))*'دليل المؤشرات'!$E$44,1),0)))</f>
        <v>10</v>
      </c>
      <c r="O8" s="59">
        <f t="shared" si="0"/>
        <v>91.6</v>
      </c>
      <c r="P8" s="35" t="str">
        <f t="shared" si="1"/>
        <v>أداء متميز</v>
      </c>
    </row>
    <row r="9" spans="1:16" ht="21" customHeight="1" x14ac:dyDescent="0.45">
      <c r="A9" s="60">
        <v>6</v>
      </c>
      <c r="B9" s="61" t="s">
        <v>231</v>
      </c>
      <c r="C9" s="57">
        <v>49</v>
      </c>
      <c r="D9" s="57">
        <v>49</v>
      </c>
      <c r="E9" s="57">
        <v>49</v>
      </c>
      <c r="F9" s="57">
        <v>9.3000000000000007</v>
      </c>
      <c r="G9" s="57">
        <v>56</v>
      </c>
      <c r="H9" s="57">
        <v>47</v>
      </c>
      <c r="I9" s="58">
        <f>IF($B9="","",IF(C9="","",IFERROR(ROUND(IF('دليل المؤشرات'!$D$39="↓",MIN('دليل المؤشرات'!$F$39/C9,1),IF('دليل المؤشرات'!$D$39="★",C9/10,MIN(C9/'دليل المؤشرات'!$F$39,1)))*'دليل المؤشرات'!$E$39,1),0)))</f>
        <v>13.6</v>
      </c>
      <c r="J9" s="58">
        <f>IF($B9="","",IF(D9="","",IFERROR(ROUND(IF('دليل المؤشرات'!$D$40="↓",MIN('دليل المؤشرات'!$F$40/D9,1),IF('دليل المؤشرات'!$D$40="★",D9/10,MIN(D9/'دليل المؤشرات'!$F$40,1)))*'دليل المؤشرات'!$E$40,1),0)))</f>
        <v>10</v>
      </c>
      <c r="K9" s="58">
        <f>IF($B9="","",IF(E9="","",IFERROR(ROUND(IF('دليل المؤشرات'!$D$41="↓",MIN('دليل المؤشرات'!$F$41/E9,1),IF('دليل المؤشرات'!$D$41="★",E9/10,MIN(E9/'دليل المؤشرات'!$F$41,1)))*'دليل المؤشرات'!$E$41,1),0)))</f>
        <v>9.8000000000000007</v>
      </c>
      <c r="L9" s="58">
        <f>IF($B9="","",IF(F9="","",IFERROR(ROUND(IF('دليل المؤشرات'!$D$42="↓",MIN('دليل المؤشرات'!$F$42/F9,1),IF('دليل المؤشرات'!$D$42="★",F9/10,MIN(F9/'دليل المؤشرات'!$F$42,1)))*'دليل المؤشرات'!$E$42,1),0)))</f>
        <v>8.1</v>
      </c>
      <c r="M9" s="58">
        <f>IF($B9="","",IF(G9="","",IFERROR(ROUND(IF('دليل المؤشرات'!$D$43="↓",MIN('دليل المؤشرات'!$F$43/G9,1),IF('دليل المؤشرات'!$D$43="★",G9/10,MIN(G9/'دليل المؤشرات'!$F$43,1)))*'دليل المؤشرات'!$E$43,1),0)))</f>
        <v>5.6</v>
      </c>
      <c r="N9" s="58">
        <f>IF($B9="","",IF(H9="","",IFERROR(ROUND(IF('دليل المؤشرات'!$D$44="↓",MIN('دليل المؤشرات'!$F$44/H9,1),IF('دليل المؤشرات'!$D$44="★",H9/10,MIN(H9/'دليل المؤشرات'!$F$44,1)))*'دليل المؤشرات'!$E$44,1),0)))</f>
        <v>4.7</v>
      </c>
      <c r="O9" s="59">
        <f t="shared" si="0"/>
        <v>51.8</v>
      </c>
      <c r="P9" s="39" t="str">
        <f t="shared" si="1"/>
        <v>يحتاج تطوير</v>
      </c>
    </row>
    <row r="10" spans="1:16" ht="21" customHeight="1" x14ac:dyDescent="0.45">
      <c r="A10" s="55">
        <v>7</v>
      </c>
      <c r="B10" s="56" t="s">
        <v>232</v>
      </c>
      <c r="C10" s="57">
        <v>56</v>
      </c>
      <c r="D10" s="57">
        <v>57</v>
      </c>
      <c r="E10" s="57">
        <v>62</v>
      </c>
      <c r="F10" s="57">
        <v>8.6</v>
      </c>
      <c r="G10" s="57">
        <v>71</v>
      </c>
      <c r="H10" s="57">
        <v>58</v>
      </c>
      <c r="I10" s="58">
        <f>IF($B10="","",IF(C10="","",IFERROR(ROUND(IF('دليل المؤشرات'!$D$39="↓",MIN('دليل المؤشرات'!$F$39/C10,1),IF('دليل المؤشرات'!$D$39="★",C10/10,MIN(C10/'دليل المؤشرات'!$F$39,1)))*'دليل المؤشرات'!$E$39,1),0)))</f>
        <v>15.6</v>
      </c>
      <c r="J10" s="58">
        <f>IF($B10="","",IF(D10="","",IFERROR(ROUND(IF('دليل المؤشرات'!$D$40="↓",MIN('دليل المؤشرات'!$F$40/D10,1),IF('دليل المؤشرات'!$D$40="★",D10/10,MIN(D10/'دليل المؤشرات'!$F$40,1)))*'دليل المؤشرات'!$E$40,1),0)))</f>
        <v>11.6</v>
      </c>
      <c r="K10" s="58">
        <f>IF($B10="","",IF(E10="","",IFERROR(ROUND(IF('دليل المؤشرات'!$D$41="↓",MIN('دليل المؤشرات'!$F$41/E10,1),IF('دليل المؤشرات'!$D$41="★",E10/10,MIN(E10/'دليل المؤشرات'!$F$41,1)))*'دليل المؤشرات'!$E$41,1),0)))</f>
        <v>12.4</v>
      </c>
      <c r="L10" s="58">
        <f>IF($B10="","",IF(F10="","",IFERROR(ROUND(IF('دليل المؤشرات'!$D$42="↓",MIN('دليل المؤشرات'!$F$42/F10,1),IF('دليل المؤشرات'!$D$42="★",F10/10,MIN(F10/'دليل المؤشرات'!$F$42,1)))*'دليل المؤشرات'!$E$42,1),0)))</f>
        <v>8.6999999999999993</v>
      </c>
      <c r="M10" s="58">
        <f>IF($B10="","",IF(G10="","",IFERROR(ROUND(IF('دليل المؤشرات'!$D$43="↓",MIN('دليل المؤشرات'!$F$43/G10,1),IF('دليل المؤشرات'!$D$43="★",G10/10,MIN(G10/'دليل المؤشرات'!$F$43,1)))*'دليل المؤشرات'!$E$43,1),0)))</f>
        <v>7.1</v>
      </c>
      <c r="N10" s="58">
        <f>IF($B10="","",IF(H10="","",IFERROR(ROUND(IF('دليل المؤشرات'!$D$44="↓",MIN('دليل المؤشرات'!$F$44/H10,1),IF('دليل المؤشرات'!$D$44="★",H10/10,MIN(H10/'دليل المؤشرات'!$F$44,1)))*'دليل المؤشرات'!$E$44,1),0)))</f>
        <v>5.8</v>
      </c>
      <c r="O10" s="59">
        <f t="shared" si="0"/>
        <v>61.2</v>
      </c>
      <c r="P10" s="35" t="str">
        <f t="shared" si="1"/>
        <v>يلبّي التوقعات</v>
      </c>
    </row>
    <row r="11" spans="1:16" ht="21" customHeight="1" x14ac:dyDescent="0.45">
      <c r="A11" s="60">
        <v>8</v>
      </c>
      <c r="B11" s="61" t="s">
        <v>233</v>
      </c>
      <c r="C11" s="57">
        <v>69</v>
      </c>
      <c r="D11" s="57">
        <v>75</v>
      </c>
      <c r="E11" s="57">
        <v>80</v>
      </c>
      <c r="F11" s="57">
        <v>7</v>
      </c>
      <c r="G11" s="57">
        <v>71</v>
      </c>
      <c r="H11" s="57">
        <v>78</v>
      </c>
      <c r="I11" s="58">
        <f>IF($B11="","",IF(C11="","",IFERROR(ROUND(IF('دليل المؤشرات'!$D$39="↓",MIN('دليل المؤشرات'!$F$39/C11,1),IF('دليل المؤشرات'!$D$39="★",C11/10,MIN(C11/'دليل المؤشرات'!$F$39,1)))*'دليل المؤشرات'!$E$39,1),0)))</f>
        <v>19.2</v>
      </c>
      <c r="J11" s="58">
        <f>IF($B11="","",IF(D11="","",IFERROR(ROUND(IF('دليل المؤشرات'!$D$40="↓",MIN('دليل المؤشرات'!$F$40/D11,1),IF('دليل المؤشرات'!$D$40="★",D11/10,MIN(D11/'دليل المؤشرات'!$F$40,1)))*'دليل المؤشرات'!$E$40,1),0)))</f>
        <v>15.3</v>
      </c>
      <c r="K11" s="58">
        <f>IF($B11="","",IF(E11="","",IFERROR(ROUND(IF('دليل المؤشرات'!$D$41="↓",MIN('دليل المؤشرات'!$F$41/E11,1),IF('دليل المؤشرات'!$D$41="★",E11/10,MIN(E11/'دليل المؤشرات'!$F$41,1)))*'دليل المؤشرات'!$E$41,1),0)))</f>
        <v>16</v>
      </c>
      <c r="L11" s="58">
        <f>IF($B11="","",IF(F11="","",IFERROR(ROUND(IF('دليل المؤشرات'!$D$42="↓",MIN('دليل المؤشرات'!$F$42/F11,1),IF('دليل المؤشرات'!$D$42="★",F11/10,MIN(F11/'دليل المؤشرات'!$F$42,1)))*'دليل المؤشرات'!$E$42,1),0)))</f>
        <v>10.7</v>
      </c>
      <c r="M11" s="58">
        <f>IF($B11="","",IF(G11="","",IFERROR(ROUND(IF('دليل المؤشرات'!$D$43="↓",MIN('دليل المؤشرات'!$F$43/G11,1),IF('دليل المؤشرات'!$D$43="★",G11/10,MIN(G11/'دليل المؤشرات'!$F$43,1)))*'دليل المؤشرات'!$E$43,1),0)))</f>
        <v>7.1</v>
      </c>
      <c r="N11" s="58">
        <f>IF($B11="","",IF(H11="","",IFERROR(ROUND(IF('دليل المؤشرات'!$D$44="↓",MIN('دليل المؤشرات'!$F$44/H11,1),IF('دليل المؤشرات'!$D$44="★",H11/10,MIN(H11/'دليل المؤشرات'!$F$44,1)))*'دليل المؤشرات'!$E$44,1),0)))</f>
        <v>7.8</v>
      </c>
      <c r="O11" s="59">
        <f t="shared" si="0"/>
        <v>76.099999999999994</v>
      </c>
      <c r="P11" s="39" t="str">
        <f t="shared" si="1"/>
        <v>يفوق التوقعات</v>
      </c>
    </row>
    <row r="12" spans="1:16" ht="21" customHeight="1" x14ac:dyDescent="0.45">
      <c r="A12" s="55">
        <v>9</v>
      </c>
      <c r="B12" s="56" t="s">
        <v>234</v>
      </c>
      <c r="C12" s="57">
        <v>42</v>
      </c>
      <c r="D12" s="57">
        <v>50</v>
      </c>
      <c r="E12" s="57">
        <v>49</v>
      </c>
      <c r="F12" s="57">
        <v>11.2</v>
      </c>
      <c r="G12" s="57">
        <v>48</v>
      </c>
      <c r="H12" s="57">
        <v>49</v>
      </c>
      <c r="I12" s="58">
        <f>IF($B12="","",IF(C12="","",IFERROR(ROUND(IF('دليل المؤشرات'!$D$39="↓",MIN('دليل المؤشرات'!$F$39/C12,1),IF('دليل المؤشرات'!$D$39="★",C12/10,MIN(C12/'دليل المؤشرات'!$F$39,1)))*'دليل المؤشرات'!$E$39,1),0)))</f>
        <v>11.7</v>
      </c>
      <c r="J12" s="58">
        <f>IF($B12="","",IF(D12="","",IFERROR(ROUND(IF('دليل المؤشرات'!$D$40="↓",MIN('دليل المؤشرات'!$F$40/D12,1),IF('دليل المؤشرات'!$D$40="★",D12/10,MIN(D12/'دليل المؤشرات'!$F$40,1)))*'دليل المؤشرات'!$E$40,1),0)))</f>
        <v>10.199999999999999</v>
      </c>
      <c r="K12" s="58">
        <f>IF($B12="","",IF(E12="","",IFERROR(ROUND(IF('دليل المؤشرات'!$D$41="↓",MIN('دليل المؤشرات'!$F$41/E12,1),IF('دليل المؤشرات'!$D$41="★",E12/10,MIN(E12/'دليل المؤشرات'!$F$41,1)))*'دليل المؤشرات'!$E$41,1),0)))</f>
        <v>9.8000000000000007</v>
      </c>
      <c r="L12" s="58">
        <f>IF($B12="","",IF(F12="","",IFERROR(ROUND(IF('دليل المؤشرات'!$D$42="↓",MIN('دليل المؤشرات'!$F$42/F12,1),IF('دليل المؤشرات'!$D$42="★",F12/10,MIN(F12/'دليل المؤشرات'!$F$42,1)))*'دليل المؤشرات'!$E$42,1),0)))</f>
        <v>6.7</v>
      </c>
      <c r="M12" s="58">
        <f>IF($B12="","",IF(G12="","",IFERROR(ROUND(IF('دليل المؤشرات'!$D$43="↓",MIN('دليل المؤشرات'!$F$43/G12,1),IF('دليل المؤشرات'!$D$43="★",G12/10,MIN(G12/'دليل المؤشرات'!$F$43,1)))*'دليل المؤشرات'!$E$43,1),0)))</f>
        <v>4.8</v>
      </c>
      <c r="N12" s="58">
        <f>IF($B12="","",IF(H12="","",IFERROR(ROUND(IF('دليل المؤشرات'!$D$44="↓",MIN('دليل المؤشرات'!$F$44/H12,1),IF('دليل المؤشرات'!$D$44="★",H12/10,MIN(H12/'دليل المؤشرات'!$F$44,1)))*'دليل المؤشرات'!$E$44,1),0)))</f>
        <v>4.9000000000000004</v>
      </c>
      <c r="O12" s="59">
        <f t="shared" si="0"/>
        <v>48.1</v>
      </c>
      <c r="P12" s="35" t="str">
        <f t="shared" si="1"/>
        <v>يحتاج تطوير</v>
      </c>
    </row>
    <row r="13" spans="1:16" ht="21" customHeight="1" x14ac:dyDescent="0.45">
      <c r="A13" s="60">
        <v>10</v>
      </c>
      <c r="B13" s="61" t="s">
        <v>235</v>
      </c>
      <c r="C13" s="57">
        <v>64</v>
      </c>
      <c r="D13" s="57">
        <v>64</v>
      </c>
      <c r="E13" s="57">
        <v>76</v>
      </c>
      <c r="F13" s="57">
        <v>6.4</v>
      </c>
      <c r="G13" s="57">
        <v>71</v>
      </c>
      <c r="H13" s="57">
        <v>65</v>
      </c>
      <c r="I13" s="58">
        <f>IF($B13="","",IF(C13="","",IFERROR(ROUND(IF('دليل المؤشرات'!$D$39="↓",MIN('دليل المؤشرات'!$F$39/C13,1),IF('دليل المؤشرات'!$D$39="★",C13/10,MIN(C13/'دليل المؤشرات'!$F$39,1)))*'دليل المؤشرات'!$E$39,1),0)))</f>
        <v>17.8</v>
      </c>
      <c r="J13" s="58">
        <f>IF($B13="","",IF(D13="","",IFERROR(ROUND(IF('دليل المؤشرات'!$D$40="↓",MIN('دليل المؤشرات'!$F$40/D13,1),IF('دليل المؤشرات'!$D$40="★",D13/10,MIN(D13/'دليل المؤشرات'!$F$40,1)))*'دليل المؤشرات'!$E$40,1),0)))</f>
        <v>13.1</v>
      </c>
      <c r="K13" s="58">
        <f>IF($B13="","",IF(E13="","",IFERROR(ROUND(IF('دليل المؤشرات'!$D$41="↓",MIN('دليل المؤشرات'!$F$41/E13,1),IF('دليل المؤشرات'!$D$41="★",E13/10,MIN(E13/'دليل المؤشرات'!$F$41,1)))*'دليل المؤشرات'!$E$41,1),0)))</f>
        <v>15.2</v>
      </c>
      <c r="L13" s="58">
        <f>IF($B13="","",IF(F13="","",IFERROR(ROUND(IF('دليل المؤشرات'!$D$42="↓",MIN('دليل المؤشرات'!$F$42/F13,1),IF('دليل المؤشرات'!$D$42="★",F13/10,MIN(F13/'دليل المؤشرات'!$F$42,1)))*'دليل المؤشرات'!$E$42,1),0)))</f>
        <v>11.7</v>
      </c>
      <c r="M13" s="58">
        <f>IF($B13="","",IF(G13="","",IFERROR(ROUND(IF('دليل المؤشرات'!$D$43="↓",MIN('دليل المؤشرات'!$F$43/G13,1),IF('دليل المؤشرات'!$D$43="★",G13/10,MIN(G13/'دليل المؤشرات'!$F$43,1)))*'دليل المؤشرات'!$E$43,1),0)))</f>
        <v>7.1</v>
      </c>
      <c r="N13" s="58">
        <f>IF($B13="","",IF(H13="","",IFERROR(ROUND(IF('دليل المؤشرات'!$D$44="↓",MIN('دليل المؤشرات'!$F$44/H13,1),IF('دليل المؤشرات'!$D$44="★",H13/10,MIN(H13/'دليل المؤشرات'!$F$44,1)))*'دليل المؤشرات'!$E$44,1),0)))</f>
        <v>6.5</v>
      </c>
      <c r="O13" s="59">
        <f t="shared" si="0"/>
        <v>71.400000000000006</v>
      </c>
      <c r="P13" s="39" t="str">
        <f t="shared" si="1"/>
        <v>يلبّي التوقعات</v>
      </c>
    </row>
    <row r="14" spans="1:16" ht="21" customHeight="1" x14ac:dyDescent="0.45">
      <c r="A14" s="55">
        <v>11</v>
      </c>
      <c r="B14" s="56" t="s">
        <v>236</v>
      </c>
      <c r="C14" s="57">
        <v>79</v>
      </c>
      <c r="D14" s="57">
        <v>86</v>
      </c>
      <c r="E14" s="57">
        <v>97</v>
      </c>
      <c r="F14" s="57">
        <v>5.7</v>
      </c>
      <c r="G14" s="57">
        <v>83</v>
      </c>
      <c r="H14" s="57">
        <v>82</v>
      </c>
      <c r="I14" s="58">
        <f>IF($B14="","",IF(C14="","",IFERROR(ROUND(IF('دليل المؤشرات'!$D$39="↓",MIN('دليل المؤشرات'!$F$39/C14,1),IF('دليل المؤشرات'!$D$39="★",C14/10,MIN(C14/'دليل المؤشرات'!$F$39,1)))*'دليل المؤشرات'!$E$39,1),0)))</f>
        <v>21.9</v>
      </c>
      <c r="J14" s="58">
        <f>IF($B14="","",IF(D14="","",IFERROR(ROUND(IF('دليل المؤشرات'!$D$40="↓",MIN('دليل المؤشرات'!$F$40/D14,1),IF('دليل المؤشرات'!$D$40="★",D14/10,MIN(D14/'دليل المؤشرات'!$F$40,1)))*'دليل المؤشرات'!$E$40,1),0)))</f>
        <v>17.600000000000001</v>
      </c>
      <c r="K14" s="58">
        <f>IF($B14="","",IF(E14="","",IFERROR(ROUND(IF('دليل المؤشرات'!$D$41="↓",MIN('دليل المؤشرات'!$F$41/E14,1),IF('دليل المؤشرات'!$D$41="★",E14/10,MIN(E14/'دليل المؤشرات'!$F$41,1)))*'دليل المؤشرات'!$E$41,1),0)))</f>
        <v>19.399999999999999</v>
      </c>
      <c r="L14" s="58">
        <f>IF($B14="","",IF(F14="","",IFERROR(ROUND(IF('دليل المؤشرات'!$D$42="↓",MIN('دليل المؤشرات'!$F$42/F14,1),IF('دليل المؤشرات'!$D$42="★",F14/10,MIN(F14/'دليل المؤشرات'!$F$42,1)))*'دليل المؤشرات'!$E$42,1),0)))</f>
        <v>13.2</v>
      </c>
      <c r="M14" s="58">
        <f>IF($B14="","",IF(G14="","",IFERROR(ROUND(IF('دليل المؤشرات'!$D$43="↓",MIN('دليل المؤشرات'!$F$43/G14,1),IF('دليل المؤشرات'!$D$43="★",G14/10,MIN(G14/'دليل المؤشرات'!$F$43,1)))*'دليل المؤشرات'!$E$43,1),0)))</f>
        <v>8.3000000000000007</v>
      </c>
      <c r="N14" s="58">
        <f>IF($B14="","",IF(H14="","",IFERROR(ROUND(IF('دليل المؤشرات'!$D$44="↓",MIN('دليل المؤشرات'!$F$44/H14,1),IF('دليل المؤشرات'!$D$44="★",H14/10,MIN(H14/'دليل المؤشرات'!$F$44,1)))*'دليل المؤشرات'!$E$44,1),0)))</f>
        <v>8.1999999999999993</v>
      </c>
      <c r="O14" s="59">
        <f t="shared" si="0"/>
        <v>88.6</v>
      </c>
      <c r="P14" s="35" t="str">
        <f t="shared" si="1"/>
        <v>يفوق التوقعات</v>
      </c>
    </row>
    <row r="15" spans="1:16" ht="21" customHeight="1" x14ac:dyDescent="0.45">
      <c r="A15" s="60">
        <v>12</v>
      </c>
      <c r="B15" s="61" t="s">
        <v>237</v>
      </c>
      <c r="C15" s="57">
        <v>94</v>
      </c>
      <c r="D15" s="57">
        <v>90</v>
      </c>
      <c r="E15" s="57">
        <v>90</v>
      </c>
      <c r="F15" s="57">
        <v>5.4</v>
      </c>
      <c r="G15" s="57">
        <v>105</v>
      </c>
      <c r="H15" s="57">
        <v>97</v>
      </c>
      <c r="I15" s="58">
        <f>IF($B15="","",IF(C15="","",IFERROR(ROUND(IF('دليل المؤشرات'!$D$39="↓",MIN('دليل المؤشرات'!$F$39/C15,1),IF('دليل المؤشرات'!$D$39="★",C15/10,MIN(C15/'دليل المؤشرات'!$F$39,1)))*'دليل المؤشرات'!$E$39,1),0)))</f>
        <v>25</v>
      </c>
      <c r="J15" s="58">
        <f>IF($B15="","",IF(D15="","",IFERROR(ROUND(IF('دليل المؤشرات'!$D$40="↓",MIN('دليل المؤشرات'!$F$40/D15,1),IF('دليل المؤشرات'!$D$40="★",D15/10,MIN(D15/'دليل المؤشرات'!$F$40,1)))*'دليل المؤشرات'!$E$40,1),0)))</f>
        <v>18.399999999999999</v>
      </c>
      <c r="K15" s="58">
        <f>IF($B15="","",IF(E15="","",IFERROR(ROUND(IF('دليل المؤشرات'!$D$41="↓",MIN('دليل المؤشرات'!$F$41/E15,1),IF('دليل المؤشرات'!$D$41="★",E15/10,MIN(E15/'دليل المؤشرات'!$F$41,1)))*'دليل المؤشرات'!$E$41,1),0)))</f>
        <v>18</v>
      </c>
      <c r="L15" s="58">
        <f>IF($B15="","",IF(F15="","",IFERROR(ROUND(IF('دليل المؤشرات'!$D$42="↓",MIN('دليل المؤشرات'!$F$42/F15,1),IF('دليل المؤشرات'!$D$42="★",F15/10,MIN(F15/'دليل المؤشرات'!$F$42,1)))*'دليل المؤشرات'!$E$42,1),0)))</f>
        <v>13.9</v>
      </c>
      <c r="M15" s="58">
        <f>IF($B15="","",IF(G15="","",IFERROR(ROUND(IF('دليل المؤشرات'!$D$43="↓",MIN('دليل المؤشرات'!$F$43/G15,1),IF('دليل المؤشرات'!$D$43="★",G15/10,MIN(G15/'دليل المؤشرات'!$F$43,1)))*'دليل المؤشرات'!$E$43,1),0)))</f>
        <v>10</v>
      </c>
      <c r="N15" s="58">
        <f>IF($B15="","",IF(H15="","",IFERROR(ROUND(IF('دليل المؤشرات'!$D$44="↓",MIN('دليل المؤشرات'!$F$44/H15,1),IF('دليل المؤشرات'!$D$44="★",H15/10,MIN(H15/'دليل المؤشرات'!$F$44,1)))*'دليل المؤشرات'!$E$44,1),0)))</f>
        <v>9.6999999999999993</v>
      </c>
      <c r="O15" s="59">
        <f t="shared" si="0"/>
        <v>95</v>
      </c>
      <c r="P15" s="39" t="str">
        <f t="shared" si="1"/>
        <v>أداء متميز</v>
      </c>
    </row>
    <row r="16" spans="1:16" ht="21" customHeight="1" x14ac:dyDescent="0.45">
      <c r="A16" s="55">
        <v>13</v>
      </c>
      <c r="B16" s="56" t="s">
        <v>238</v>
      </c>
      <c r="C16" s="57">
        <v>91</v>
      </c>
      <c r="D16" s="57">
        <v>95</v>
      </c>
      <c r="E16" s="57">
        <v>87</v>
      </c>
      <c r="F16" s="57">
        <v>5.5</v>
      </c>
      <c r="G16" s="57">
        <v>87</v>
      </c>
      <c r="H16" s="57">
        <v>87</v>
      </c>
      <c r="I16" s="58">
        <f>IF($B16="","",IF(C16="","",IFERROR(ROUND(IF('دليل المؤشرات'!$D$39="↓",MIN('دليل المؤشرات'!$F$39/C16,1),IF('دليل المؤشرات'!$D$39="★",C16/10,MIN(C16/'دليل المؤشرات'!$F$39,1)))*'دليل المؤشرات'!$E$39,1),0)))</f>
        <v>25</v>
      </c>
      <c r="J16" s="58">
        <f>IF($B16="","",IF(D16="","",IFERROR(ROUND(IF('دليل المؤشرات'!$D$40="↓",MIN('دليل المؤشرات'!$F$40/D16,1),IF('دليل المؤشرات'!$D$40="★",D16/10,MIN(D16/'دليل المؤشرات'!$F$40,1)))*'دليل المؤشرات'!$E$40,1),0)))</f>
        <v>19.399999999999999</v>
      </c>
      <c r="K16" s="58">
        <f>IF($B16="","",IF(E16="","",IFERROR(ROUND(IF('دليل المؤشرات'!$D$41="↓",MIN('دليل المؤشرات'!$F$41/E16,1),IF('دليل المؤشرات'!$D$41="★",E16/10,MIN(E16/'دليل المؤشرات'!$F$41,1)))*'دليل المؤشرات'!$E$41,1),0)))</f>
        <v>17.399999999999999</v>
      </c>
      <c r="L16" s="58">
        <f>IF($B16="","",IF(F16="","",IFERROR(ROUND(IF('دليل المؤشرات'!$D$42="↓",MIN('دليل المؤشرات'!$F$42/F16,1),IF('دليل المؤشرات'!$D$42="★",F16/10,MIN(F16/'دليل المؤشرات'!$F$42,1)))*'دليل المؤشرات'!$E$42,1),0)))</f>
        <v>13.6</v>
      </c>
      <c r="M16" s="58">
        <f>IF($B16="","",IF(G16="","",IFERROR(ROUND(IF('دليل المؤشرات'!$D$43="↓",MIN('دليل المؤشرات'!$F$43/G16,1),IF('دليل المؤشرات'!$D$43="★",G16/10,MIN(G16/'دليل المؤشرات'!$F$43,1)))*'دليل المؤشرات'!$E$43,1),0)))</f>
        <v>8.6999999999999993</v>
      </c>
      <c r="N16" s="58">
        <f>IF($B16="","",IF(H16="","",IFERROR(ROUND(IF('دليل المؤشرات'!$D$44="↓",MIN('دليل المؤشرات'!$F$44/H16,1),IF('دليل المؤشرات'!$D$44="★",H16/10,MIN(H16/'دليل المؤشرات'!$F$44,1)))*'دليل المؤشرات'!$E$44,1),0)))</f>
        <v>8.6999999999999993</v>
      </c>
      <c r="O16" s="59">
        <f t="shared" si="0"/>
        <v>92.8</v>
      </c>
      <c r="P16" s="35" t="str">
        <f t="shared" si="1"/>
        <v>أداء متميز</v>
      </c>
    </row>
    <row r="17" spans="1:16" ht="21" customHeight="1" x14ac:dyDescent="0.45">
      <c r="A17" s="60">
        <v>14</v>
      </c>
      <c r="B17" s="61" t="s">
        <v>239</v>
      </c>
      <c r="C17" s="57">
        <v>80</v>
      </c>
      <c r="D17" s="57">
        <v>102</v>
      </c>
      <c r="E17" s="57">
        <v>105</v>
      </c>
      <c r="F17" s="57">
        <v>5.2</v>
      </c>
      <c r="G17" s="57">
        <v>87</v>
      </c>
      <c r="H17" s="57">
        <v>104</v>
      </c>
      <c r="I17" s="58">
        <f>IF($B17="","",IF(C17="","",IFERROR(ROUND(IF('دليل المؤشرات'!$D$39="↓",MIN('دليل المؤشرات'!$F$39/C17,1),IF('دليل المؤشرات'!$D$39="★",C17/10,MIN(C17/'دليل المؤشرات'!$F$39,1)))*'دليل المؤشرات'!$E$39,1),0)))</f>
        <v>22.2</v>
      </c>
      <c r="J17" s="58">
        <f>IF($B17="","",IF(D17="","",IFERROR(ROUND(IF('دليل المؤشرات'!$D$40="↓",MIN('دليل المؤشرات'!$F$40/D17,1),IF('دليل المؤشرات'!$D$40="★",D17/10,MIN(D17/'دليل المؤشرات'!$F$40,1)))*'دليل المؤشرات'!$E$40,1),0)))</f>
        <v>20</v>
      </c>
      <c r="K17" s="58">
        <f>IF($B17="","",IF(E17="","",IFERROR(ROUND(IF('دليل المؤشرات'!$D$41="↓",MIN('دليل المؤشرات'!$F$41/E17,1),IF('دليل المؤشرات'!$D$41="★",E17/10,MIN(E17/'دليل المؤشرات'!$F$41,1)))*'دليل المؤشرات'!$E$41,1),0)))</f>
        <v>20</v>
      </c>
      <c r="L17" s="58">
        <f>IF($B17="","",IF(F17="","",IFERROR(ROUND(IF('دليل المؤشرات'!$D$42="↓",MIN('دليل المؤشرات'!$F$42/F17,1),IF('دليل المؤشرات'!$D$42="★",F17/10,MIN(F17/'دليل المؤشرات'!$F$42,1)))*'دليل المؤشرات'!$E$42,1),0)))</f>
        <v>14.4</v>
      </c>
      <c r="M17" s="58">
        <f>IF($B17="","",IF(G17="","",IFERROR(ROUND(IF('دليل المؤشرات'!$D$43="↓",MIN('دليل المؤشرات'!$F$43/G17,1),IF('دليل المؤشرات'!$D$43="★",G17/10,MIN(G17/'دليل المؤشرات'!$F$43,1)))*'دليل المؤشرات'!$E$43,1),0)))</f>
        <v>8.6999999999999993</v>
      </c>
      <c r="N17" s="58">
        <f>IF($B17="","",IF(H17="","",IFERROR(ROUND(IF('دليل المؤشرات'!$D$44="↓",MIN('دليل المؤشرات'!$F$44/H17,1),IF('دليل المؤشرات'!$D$44="★",H17/10,MIN(H17/'دليل المؤشرات'!$F$44,1)))*'دليل المؤشرات'!$E$44,1),0)))</f>
        <v>10</v>
      </c>
      <c r="O17" s="59">
        <f t="shared" si="0"/>
        <v>95.3</v>
      </c>
      <c r="P17" s="39" t="str">
        <f t="shared" si="1"/>
        <v>أداء متميز</v>
      </c>
    </row>
    <row r="18" spans="1:16" ht="21" customHeight="1" x14ac:dyDescent="0.45">
      <c r="A18" s="55">
        <v>15</v>
      </c>
      <c r="B18" s="56" t="s">
        <v>240</v>
      </c>
      <c r="C18" s="57">
        <v>86</v>
      </c>
      <c r="D18" s="57">
        <v>89</v>
      </c>
      <c r="E18" s="57">
        <v>94</v>
      </c>
      <c r="F18" s="57">
        <v>6.1</v>
      </c>
      <c r="G18" s="57">
        <v>93</v>
      </c>
      <c r="H18" s="57">
        <v>83</v>
      </c>
      <c r="I18" s="58">
        <f>IF($B18="","",IF(C18="","",IFERROR(ROUND(IF('دليل المؤشرات'!$D$39="↓",MIN('دليل المؤشرات'!$F$39/C18,1),IF('دليل المؤشرات'!$D$39="★",C18/10,MIN(C18/'دليل المؤشرات'!$F$39,1)))*'دليل المؤشرات'!$E$39,1),0)))</f>
        <v>23.9</v>
      </c>
      <c r="J18" s="58">
        <f>IF($B18="","",IF(D18="","",IFERROR(ROUND(IF('دليل المؤشرات'!$D$40="↓",MIN('دليل المؤشرات'!$F$40/D18,1),IF('دليل المؤشرات'!$D$40="★",D18/10,MIN(D18/'دليل المؤشرات'!$F$40,1)))*'دليل المؤشرات'!$E$40,1),0)))</f>
        <v>18.2</v>
      </c>
      <c r="K18" s="58">
        <f>IF($B18="","",IF(E18="","",IFERROR(ROUND(IF('دليل المؤشرات'!$D$41="↓",MIN('دليل المؤشرات'!$F$41/E18,1),IF('دليل المؤشرات'!$D$41="★",E18/10,MIN(E18/'دليل المؤشرات'!$F$41,1)))*'دليل المؤشرات'!$E$41,1),0)))</f>
        <v>18.8</v>
      </c>
      <c r="L18" s="58">
        <f>IF($B18="","",IF(F18="","",IFERROR(ROUND(IF('دليل المؤشرات'!$D$42="↓",MIN('دليل المؤشرات'!$F$42/F18,1),IF('دليل المؤشرات'!$D$42="★",F18/10,MIN(F18/'دليل المؤشرات'!$F$42,1)))*'دليل المؤشرات'!$E$42,1),0)))</f>
        <v>12.3</v>
      </c>
      <c r="M18" s="58">
        <f>IF($B18="","",IF(G18="","",IFERROR(ROUND(IF('دليل المؤشرات'!$D$43="↓",MIN('دليل المؤشرات'!$F$43/G18,1),IF('دليل المؤشرات'!$D$43="★",G18/10,MIN(G18/'دليل المؤشرات'!$F$43,1)))*'دليل المؤشرات'!$E$43,1),0)))</f>
        <v>9.3000000000000007</v>
      </c>
      <c r="N18" s="58">
        <f>IF($B18="","",IF(H18="","",IFERROR(ROUND(IF('دليل المؤشرات'!$D$44="↓",MIN('دليل المؤشرات'!$F$44/H18,1),IF('دليل المؤشرات'!$D$44="★",H18/10,MIN(H18/'دليل المؤشرات'!$F$44,1)))*'دليل المؤشرات'!$E$44,1),0)))</f>
        <v>8.3000000000000007</v>
      </c>
      <c r="O18" s="59">
        <f t="shared" si="0"/>
        <v>90.8</v>
      </c>
      <c r="P18" s="35" t="str">
        <f t="shared" si="1"/>
        <v>أداء متميز</v>
      </c>
    </row>
    <row r="19" spans="1:16" ht="21" customHeight="1" x14ac:dyDescent="0.45">
      <c r="A19" s="60">
        <v>16</v>
      </c>
      <c r="B19" s="61" t="s">
        <v>241</v>
      </c>
      <c r="C19" s="57">
        <v>52</v>
      </c>
      <c r="D19" s="57">
        <v>51</v>
      </c>
      <c r="E19" s="57">
        <v>62</v>
      </c>
      <c r="F19" s="57">
        <v>9.4</v>
      </c>
      <c r="G19" s="57">
        <v>56</v>
      </c>
      <c r="H19" s="57">
        <v>53</v>
      </c>
      <c r="I19" s="58">
        <f>IF($B19="","",IF(C19="","",IFERROR(ROUND(IF('دليل المؤشرات'!$D$39="↓",MIN('دليل المؤشرات'!$F$39/C19,1),IF('دليل المؤشرات'!$D$39="★",C19/10,MIN(C19/'دليل المؤشرات'!$F$39,1)))*'دليل المؤشرات'!$E$39,1),0)))</f>
        <v>14.4</v>
      </c>
      <c r="J19" s="58">
        <f>IF($B19="","",IF(D19="","",IFERROR(ROUND(IF('دليل المؤشرات'!$D$40="↓",MIN('دليل المؤشرات'!$F$40/D19,1),IF('دليل المؤشرات'!$D$40="★",D19/10,MIN(D19/'دليل المؤشرات'!$F$40,1)))*'دليل المؤشرات'!$E$40,1),0)))</f>
        <v>10.4</v>
      </c>
      <c r="K19" s="58">
        <f>IF($B19="","",IF(E19="","",IFERROR(ROUND(IF('دليل المؤشرات'!$D$41="↓",MIN('دليل المؤشرات'!$F$41/E19,1),IF('دليل المؤشرات'!$D$41="★",E19/10,MIN(E19/'دليل المؤشرات'!$F$41,1)))*'دليل المؤشرات'!$E$41,1),0)))</f>
        <v>12.4</v>
      </c>
      <c r="L19" s="58">
        <f>IF($B19="","",IF(F19="","",IFERROR(ROUND(IF('دليل المؤشرات'!$D$42="↓",MIN('دليل المؤشرات'!$F$42/F19,1),IF('دليل المؤشرات'!$D$42="★",F19/10,MIN(F19/'دليل المؤشرات'!$F$42,1)))*'دليل المؤشرات'!$E$42,1),0)))</f>
        <v>8</v>
      </c>
      <c r="M19" s="58">
        <f>IF($B19="","",IF(G19="","",IFERROR(ROUND(IF('دليل المؤشرات'!$D$43="↓",MIN('دليل المؤشرات'!$F$43/G19,1),IF('دليل المؤشرات'!$D$43="★",G19/10,MIN(G19/'دليل المؤشرات'!$F$43,1)))*'دليل المؤشرات'!$E$43,1),0)))</f>
        <v>5.6</v>
      </c>
      <c r="N19" s="58">
        <f>IF($B19="","",IF(H19="","",IFERROR(ROUND(IF('دليل المؤشرات'!$D$44="↓",MIN('دليل المؤشرات'!$F$44/H19,1),IF('دليل المؤشرات'!$D$44="★",H19/10,MIN(H19/'دليل المؤشرات'!$F$44,1)))*'دليل المؤشرات'!$E$44,1),0)))</f>
        <v>5.3</v>
      </c>
      <c r="O19" s="59">
        <f t="shared" si="0"/>
        <v>56.1</v>
      </c>
      <c r="P19" s="39" t="str">
        <f t="shared" si="1"/>
        <v>يحتاج تطوير</v>
      </c>
    </row>
    <row r="20" spans="1:16" ht="21" customHeight="1" x14ac:dyDescent="0.45">
      <c r="A20" s="55">
        <v>17</v>
      </c>
      <c r="B20" s="56"/>
      <c r="C20" s="57"/>
      <c r="D20" s="57"/>
      <c r="E20" s="57"/>
      <c r="F20" s="57"/>
      <c r="G20" s="57"/>
      <c r="H20" s="57"/>
      <c r="I20" s="58" t="str">
        <f>IF($B20="","",IF(C20="","",IFERROR(ROUND(IF('دليل المؤشرات'!$D$39="↓",MIN('دليل المؤشرات'!$F$39/C20,1),IF('دليل المؤشرات'!$D$39="★",C20/10,MIN(C20/'دليل المؤشرات'!$F$39,1)))*'دليل المؤشرات'!$E$39,1),0)))</f>
        <v/>
      </c>
      <c r="J20" s="58" t="str">
        <f>IF($B20="","",IF(D20="","",IFERROR(ROUND(IF('دليل المؤشرات'!$D$40="↓",MIN('دليل المؤشرات'!$F$40/D20,1),IF('دليل المؤشرات'!$D$40="★",D20/10,MIN(D20/'دليل المؤشرات'!$F$40,1)))*'دليل المؤشرات'!$E$40,1),0)))</f>
        <v/>
      </c>
      <c r="K20" s="58" t="str">
        <f>IF($B20="","",IF(E20="","",IFERROR(ROUND(IF('دليل المؤشرات'!$D$41="↓",MIN('دليل المؤشرات'!$F$41/E20,1),IF('دليل المؤشرات'!$D$41="★",E20/10,MIN(E20/'دليل المؤشرات'!$F$41,1)))*'دليل المؤشرات'!$E$41,1),0)))</f>
        <v/>
      </c>
      <c r="L20" s="58" t="str">
        <f>IF($B20="","",IF(F20="","",IFERROR(ROUND(IF('دليل المؤشرات'!$D$42="↓",MIN('دليل المؤشرات'!$F$42/F20,1),IF('دليل المؤشرات'!$D$42="★",F20/10,MIN(F20/'دليل المؤشرات'!$F$42,1)))*'دليل المؤشرات'!$E$42,1),0)))</f>
        <v/>
      </c>
      <c r="M20" s="58" t="str">
        <f>IF($B20="","",IF(G20="","",IFERROR(ROUND(IF('دليل المؤشرات'!$D$43="↓",MIN('دليل المؤشرات'!$F$43/G20,1),IF('دليل المؤشرات'!$D$43="★",G20/10,MIN(G20/'دليل المؤشرات'!$F$43,1)))*'دليل المؤشرات'!$E$43,1),0)))</f>
        <v/>
      </c>
      <c r="N20" s="58" t="str">
        <f>IF($B20="","",IF(H20="","",IFERROR(ROUND(IF('دليل المؤشرات'!$D$44="↓",MIN('دليل المؤشرات'!$F$44/H20,1),IF('دليل المؤشرات'!$D$44="★",H20/10,MIN(H20/'دليل المؤشرات'!$F$44,1)))*'دليل المؤشرات'!$E$44,1),0)))</f>
        <v/>
      </c>
      <c r="O20" s="59" t="str">
        <f t="shared" si="0"/>
        <v/>
      </c>
      <c r="P20" s="35" t="str">
        <f t="shared" si="1"/>
        <v/>
      </c>
    </row>
    <row r="21" spans="1:16" ht="21" customHeight="1" x14ac:dyDescent="0.45">
      <c r="A21" s="60">
        <v>18</v>
      </c>
      <c r="B21" s="61"/>
      <c r="C21" s="57"/>
      <c r="D21" s="57"/>
      <c r="E21" s="57"/>
      <c r="F21" s="57"/>
      <c r="G21" s="57"/>
      <c r="H21" s="57"/>
      <c r="I21" s="58" t="str">
        <f>IF($B21="","",IF(C21="","",IFERROR(ROUND(IF('دليل المؤشرات'!$D$39="↓",MIN('دليل المؤشرات'!$F$39/C21,1),IF('دليل المؤشرات'!$D$39="★",C21/10,MIN(C21/'دليل المؤشرات'!$F$39,1)))*'دليل المؤشرات'!$E$39,1),0)))</f>
        <v/>
      </c>
      <c r="J21" s="58" t="str">
        <f>IF($B21="","",IF(D21="","",IFERROR(ROUND(IF('دليل المؤشرات'!$D$40="↓",MIN('دليل المؤشرات'!$F$40/D21,1),IF('دليل المؤشرات'!$D$40="★",D21/10,MIN(D21/'دليل المؤشرات'!$F$40,1)))*'دليل المؤشرات'!$E$40,1),0)))</f>
        <v/>
      </c>
      <c r="K21" s="58" t="str">
        <f>IF($B21="","",IF(E21="","",IFERROR(ROUND(IF('دليل المؤشرات'!$D$41="↓",MIN('دليل المؤشرات'!$F$41/E21,1),IF('دليل المؤشرات'!$D$41="★",E21/10,MIN(E21/'دليل المؤشرات'!$F$41,1)))*'دليل المؤشرات'!$E$41,1),0)))</f>
        <v/>
      </c>
      <c r="L21" s="58" t="str">
        <f>IF($B21="","",IF(F21="","",IFERROR(ROUND(IF('دليل المؤشرات'!$D$42="↓",MIN('دليل المؤشرات'!$F$42/F21,1),IF('دليل المؤشرات'!$D$42="★",F21/10,MIN(F21/'دليل المؤشرات'!$F$42,1)))*'دليل المؤشرات'!$E$42,1),0)))</f>
        <v/>
      </c>
      <c r="M21" s="58" t="str">
        <f>IF($B21="","",IF(G21="","",IFERROR(ROUND(IF('دليل المؤشرات'!$D$43="↓",MIN('دليل المؤشرات'!$F$43/G21,1),IF('دليل المؤشرات'!$D$43="★",G21/10,MIN(G21/'دليل المؤشرات'!$F$43,1)))*'دليل المؤشرات'!$E$43,1),0)))</f>
        <v/>
      </c>
      <c r="N21" s="58" t="str">
        <f>IF($B21="","",IF(H21="","",IFERROR(ROUND(IF('دليل المؤشرات'!$D$44="↓",MIN('دليل المؤشرات'!$F$44/H21,1),IF('دليل المؤشرات'!$D$44="★",H21/10,MIN(H21/'دليل المؤشرات'!$F$44,1)))*'دليل المؤشرات'!$E$44,1),0)))</f>
        <v/>
      </c>
      <c r="O21" s="59" t="str">
        <f t="shared" si="0"/>
        <v/>
      </c>
      <c r="P21" s="39" t="str">
        <f t="shared" si="1"/>
        <v/>
      </c>
    </row>
    <row r="22" spans="1:16" ht="21" customHeight="1" x14ac:dyDescent="0.45">
      <c r="A22" s="55">
        <v>19</v>
      </c>
      <c r="B22" s="56"/>
      <c r="C22" s="57"/>
      <c r="D22" s="57"/>
      <c r="E22" s="57"/>
      <c r="F22" s="57"/>
      <c r="G22" s="57"/>
      <c r="H22" s="57"/>
      <c r="I22" s="58" t="str">
        <f>IF($B22="","",IF(C22="","",IFERROR(ROUND(IF('دليل المؤشرات'!$D$39="↓",MIN('دليل المؤشرات'!$F$39/C22,1),IF('دليل المؤشرات'!$D$39="★",C22/10,MIN(C22/'دليل المؤشرات'!$F$39,1)))*'دليل المؤشرات'!$E$39,1),0)))</f>
        <v/>
      </c>
      <c r="J22" s="58" t="str">
        <f>IF($B22="","",IF(D22="","",IFERROR(ROUND(IF('دليل المؤشرات'!$D$40="↓",MIN('دليل المؤشرات'!$F$40/D22,1),IF('دليل المؤشرات'!$D$40="★",D22/10,MIN(D22/'دليل المؤشرات'!$F$40,1)))*'دليل المؤشرات'!$E$40,1),0)))</f>
        <v/>
      </c>
      <c r="K22" s="58" t="str">
        <f>IF($B22="","",IF(E22="","",IFERROR(ROUND(IF('دليل المؤشرات'!$D$41="↓",MIN('دليل المؤشرات'!$F$41/E22,1),IF('دليل المؤشرات'!$D$41="★",E22/10,MIN(E22/'دليل المؤشرات'!$F$41,1)))*'دليل المؤشرات'!$E$41,1),0)))</f>
        <v/>
      </c>
      <c r="L22" s="58" t="str">
        <f>IF($B22="","",IF(F22="","",IFERROR(ROUND(IF('دليل المؤشرات'!$D$42="↓",MIN('دليل المؤشرات'!$F$42/F22,1),IF('دليل المؤشرات'!$D$42="★",F22/10,MIN(F22/'دليل المؤشرات'!$F$42,1)))*'دليل المؤشرات'!$E$42,1),0)))</f>
        <v/>
      </c>
      <c r="M22" s="58" t="str">
        <f>IF($B22="","",IF(G22="","",IFERROR(ROUND(IF('دليل المؤشرات'!$D$43="↓",MIN('دليل المؤشرات'!$F$43/G22,1),IF('دليل المؤشرات'!$D$43="★",G22/10,MIN(G22/'دليل المؤشرات'!$F$43,1)))*'دليل المؤشرات'!$E$43,1),0)))</f>
        <v/>
      </c>
      <c r="N22" s="58" t="str">
        <f>IF($B22="","",IF(H22="","",IFERROR(ROUND(IF('دليل المؤشرات'!$D$44="↓",MIN('دليل المؤشرات'!$F$44/H22,1),IF('دليل المؤشرات'!$D$44="★",H22/10,MIN(H22/'دليل المؤشرات'!$F$44,1)))*'دليل المؤشرات'!$E$44,1),0)))</f>
        <v/>
      </c>
      <c r="O22" s="59" t="str">
        <f t="shared" si="0"/>
        <v/>
      </c>
      <c r="P22" s="35" t="str">
        <f t="shared" si="1"/>
        <v/>
      </c>
    </row>
    <row r="23" spans="1:16" ht="21" customHeight="1" x14ac:dyDescent="0.45">
      <c r="A23" s="60">
        <v>20</v>
      </c>
      <c r="B23" s="61"/>
      <c r="C23" s="57"/>
      <c r="D23" s="57"/>
      <c r="E23" s="57"/>
      <c r="F23" s="57"/>
      <c r="G23" s="57"/>
      <c r="H23" s="57"/>
      <c r="I23" s="58" t="str">
        <f>IF($B23="","",IF(C23="","",IFERROR(ROUND(IF('دليل المؤشرات'!$D$39="↓",MIN('دليل المؤشرات'!$F$39/C23,1),IF('دليل المؤشرات'!$D$39="★",C23/10,MIN(C23/'دليل المؤشرات'!$F$39,1)))*'دليل المؤشرات'!$E$39,1),0)))</f>
        <v/>
      </c>
      <c r="J23" s="58" t="str">
        <f>IF($B23="","",IF(D23="","",IFERROR(ROUND(IF('دليل المؤشرات'!$D$40="↓",MIN('دليل المؤشرات'!$F$40/D23,1),IF('دليل المؤشرات'!$D$40="★",D23/10,MIN(D23/'دليل المؤشرات'!$F$40,1)))*'دليل المؤشرات'!$E$40,1),0)))</f>
        <v/>
      </c>
      <c r="K23" s="58" t="str">
        <f>IF($B23="","",IF(E23="","",IFERROR(ROUND(IF('دليل المؤشرات'!$D$41="↓",MIN('دليل المؤشرات'!$F$41/E23,1),IF('دليل المؤشرات'!$D$41="★",E23/10,MIN(E23/'دليل المؤشرات'!$F$41,1)))*'دليل المؤشرات'!$E$41,1),0)))</f>
        <v/>
      </c>
      <c r="L23" s="58" t="str">
        <f>IF($B23="","",IF(F23="","",IFERROR(ROUND(IF('دليل المؤشرات'!$D$42="↓",MIN('دليل المؤشرات'!$F$42/F23,1),IF('دليل المؤشرات'!$D$42="★",F23/10,MIN(F23/'دليل المؤشرات'!$F$42,1)))*'دليل المؤشرات'!$E$42,1),0)))</f>
        <v/>
      </c>
      <c r="M23" s="58" t="str">
        <f>IF($B23="","",IF(G23="","",IFERROR(ROUND(IF('دليل المؤشرات'!$D$43="↓",MIN('دليل المؤشرات'!$F$43/G23,1),IF('دليل المؤشرات'!$D$43="★",G23/10,MIN(G23/'دليل المؤشرات'!$F$43,1)))*'دليل المؤشرات'!$E$43,1),0)))</f>
        <v/>
      </c>
      <c r="N23" s="58" t="str">
        <f>IF($B23="","",IF(H23="","",IFERROR(ROUND(IF('دليل المؤشرات'!$D$44="↓",MIN('دليل المؤشرات'!$F$44/H23,1),IF('دليل المؤشرات'!$D$44="★",H23/10,MIN(H23/'دليل المؤشرات'!$F$44,1)))*'دليل المؤشرات'!$E$44,1),0)))</f>
        <v/>
      </c>
      <c r="O23" s="59" t="str">
        <f t="shared" si="0"/>
        <v/>
      </c>
      <c r="P23" s="39" t="str">
        <f t="shared" si="1"/>
        <v/>
      </c>
    </row>
    <row r="24" spans="1:16" ht="21" customHeight="1" x14ac:dyDescent="0.45">
      <c r="A24" s="55">
        <v>21</v>
      </c>
      <c r="B24" s="56"/>
      <c r="C24" s="57"/>
      <c r="D24" s="57"/>
      <c r="E24" s="57"/>
      <c r="F24" s="57"/>
      <c r="G24" s="57"/>
      <c r="H24" s="57"/>
      <c r="I24" s="58" t="str">
        <f>IF($B24="","",IF(C24="","",IFERROR(ROUND(IF('دليل المؤشرات'!$D$39="↓",MIN('دليل المؤشرات'!$F$39/C24,1),IF('دليل المؤشرات'!$D$39="★",C24/10,MIN(C24/'دليل المؤشرات'!$F$39,1)))*'دليل المؤشرات'!$E$39,1),0)))</f>
        <v/>
      </c>
      <c r="J24" s="58" t="str">
        <f>IF($B24="","",IF(D24="","",IFERROR(ROUND(IF('دليل المؤشرات'!$D$40="↓",MIN('دليل المؤشرات'!$F$40/D24,1),IF('دليل المؤشرات'!$D$40="★",D24/10,MIN(D24/'دليل المؤشرات'!$F$40,1)))*'دليل المؤشرات'!$E$40,1),0)))</f>
        <v/>
      </c>
      <c r="K24" s="58" t="str">
        <f>IF($B24="","",IF(E24="","",IFERROR(ROUND(IF('دليل المؤشرات'!$D$41="↓",MIN('دليل المؤشرات'!$F$41/E24,1),IF('دليل المؤشرات'!$D$41="★",E24/10,MIN(E24/'دليل المؤشرات'!$F$41,1)))*'دليل المؤشرات'!$E$41,1),0)))</f>
        <v/>
      </c>
      <c r="L24" s="58" t="str">
        <f>IF($B24="","",IF(F24="","",IFERROR(ROUND(IF('دليل المؤشرات'!$D$42="↓",MIN('دليل المؤشرات'!$F$42/F24,1),IF('دليل المؤشرات'!$D$42="★",F24/10,MIN(F24/'دليل المؤشرات'!$F$42,1)))*'دليل المؤشرات'!$E$42,1),0)))</f>
        <v/>
      </c>
      <c r="M24" s="58" t="str">
        <f>IF($B24="","",IF(G24="","",IFERROR(ROUND(IF('دليل المؤشرات'!$D$43="↓",MIN('دليل المؤشرات'!$F$43/G24,1),IF('دليل المؤشرات'!$D$43="★",G24/10,MIN(G24/'دليل المؤشرات'!$F$43,1)))*'دليل المؤشرات'!$E$43,1),0)))</f>
        <v/>
      </c>
      <c r="N24" s="58" t="str">
        <f>IF($B24="","",IF(H24="","",IFERROR(ROUND(IF('دليل المؤشرات'!$D$44="↓",MIN('دليل المؤشرات'!$F$44/H24,1),IF('دليل المؤشرات'!$D$44="★",H24/10,MIN(H24/'دليل المؤشرات'!$F$44,1)))*'دليل المؤشرات'!$E$44,1),0)))</f>
        <v/>
      </c>
      <c r="O24" s="59" t="str">
        <f t="shared" si="0"/>
        <v/>
      </c>
      <c r="P24" s="35" t="str">
        <f t="shared" si="1"/>
        <v/>
      </c>
    </row>
    <row r="25" spans="1:16" ht="21" customHeight="1" x14ac:dyDescent="0.45">
      <c r="A25" s="60">
        <v>22</v>
      </c>
      <c r="B25" s="61"/>
      <c r="C25" s="57"/>
      <c r="D25" s="57"/>
      <c r="E25" s="57"/>
      <c r="F25" s="57"/>
      <c r="G25" s="57"/>
      <c r="H25" s="57"/>
      <c r="I25" s="58" t="str">
        <f>IF($B25="","",IF(C25="","",IFERROR(ROUND(IF('دليل المؤشرات'!$D$39="↓",MIN('دليل المؤشرات'!$F$39/C25,1),IF('دليل المؤشرات'!$D$39="★",C25/10,MIN(C25/'دليل المؤشرات'!$F$39,1)))*'دليل المؤشرات'!$E$39,1),0)))</f>
        <v/>
      </c>
      <c r="J25" s="58" t="str">
        <f>IF($B25="","",IF(D25="","",IFERROR(ROUND(IF('دليل المؤشرات'!$D$40="↓",MIN('دليل المؤشرات'!$F$40/D25,1),IF('دليل المؤشرات'!$D$40="★",D25/10,MIN(D25/'دليل المؤشرات'!$F$40,1)))*'دليل المؤشرات'!$E$40,1),0)))</f>
        <v/>
      </c>
      <c r="K25" s="58" t="str">
        <f>IF($B25="","",IF(E25="","",IFERROR(ROUND(IF('دليل المؤشرات'!$D$41="↓",MIN('دليل المؤشرات'!$F$41/E25,1),IF('دليل المؤشرات'!$D$41="★",E25/10,MIN(E25/'دليل المؤشرات'!$F$41,1)))*'دليل المؤشرات'!$E$41,1),0)))</f>
        <v/>
      </c>
      <c r="L25" s="58" t="str">
        <f>IF($B25="","",IF(F25="","",IFERROR(ROUND(IF('دليل المؤشرات'!$D$42="↓",MIN('دليل المؤشرات'!$F$42/F25,1),IF('دليل المؤشرات'!$D$42="★",F25/10,MIN(F25/'دليل المؤشرات'!$F$42,1)))*'دليل المؤشرات'!$E$42,1),0)))</f>
        <v/>
      </c>
      <c r="M25" s="58" t="str">
        <f>IF($B25="","",IF(G25="","",IFERROR(ROUND(IF('دليل المؤشرات'!$D$43="↓",MIN('دليل المؤشرات'!$F$43/G25,1),IF('دليل المؤشرات'!$D$43="★",G25/10,MIN(G25/'دليل المؤشرات'!$F$43,1)))*'دليل المؤشرات'!$E$43,1),0)))</f>
        <v/>
      </c>
      <c r="N25" s="58" t="str">
        <f>IF($B25="","",IF(H25="","",IFERROR(ROUND(IF('دليل المؤشرات'!$D$44="↓",MIN('دليل المؤشرات'!$F$44/H25,1),IF('دليل المؤشرات'!$D$44="★",H25/10,MIN(H25/'دليل المؤشرات'!$F$44,1)))*'دليل المؤشرات'!$E$44,1),0)))</f>
        <v/>
      </c>
      <c r="O25" s="59" t="str">
        <f t="shared" si="0"/>
        <v/>
      </c>
      <c r="P25" s="39" t="str">
        <f t="shared" si="1"/>
        <v/>
      </c>
    </row>
    <row r="26" spans="1:16" ht="21" customHeight="1" x14ac:dyDescent="0.45">
      <c r="A26" s="55">
        <v>23</v>
      </c>
      <c r="B26" s="56"/>
      <c r="C26" s="57"/>
      <c r="D26" s="57"/>
      <c r="E26" s="57"/>
      <c r="F26" s="57"/>
      <c r="G26" s="57"/>
      <c r="H26" s="57"/>
      <c r="I26" s="58" t="str">
        <f>IF($B26="","",IF(C26="","",IFERROR(ROUND(IF('دليل المؤشرات'!$D$39="↓",MIN('دليل المؤشرات'!$F$39/C26,1),IF('دليل المؤشرات'!$D$39="★",C26/10,MIN(C26/'دليل المؤشرات'!$F$39,1)))*'دليل المؤشرات'!$E$39,1),0)))</f>
        <v/>
      </c>
      <c r="J26" s="58" t="str">
        <f>IF($B26="","",IF(D26="","",IFERROR(ROUND(IF('دليل المؤشرات'!$D$40="↓",MIN('دليل المؤشرات'!$F$40/D26,1),IF('دليل المؤشرات'!$D$40="★",D26/10,MIN(D26/'دليل المؤشرات'!$F$40,1)))*'دليل المؤشرات'!$E$40,1),0)))</f>
        <v/>
      </c>
      <c r="K26" s="58" t="str">
        <f>IF($B26="","",IF(E26="","",IFERROR(ROUND(IF('دليل المؤشرات'!$D$41="↓",MIN('دليل المؤشرات'!$F$41/E26,1),IF('دليل المؤشرات'!$D$41="★",E26/10,MIN(E26/'دليل المؤشرات'!$F$41,1)))*'دليل المؤشرات'!$E$41,1),0)))</f>
        <v/>
      </c>
      <c r="L26" s="58" t="str">
        <f>IF($B26="","",IF(F26="","",IFERROR(ROUND(IF('دليل المؤشرات'!$D$42="↓",MIN('دليل المؤشرات'!$F$42/F26,1),IF('دليل المؤشرات'!$D$42="★",F26/10,MIN(F26/'دليل المؤشرات'!$F$42,1)))*'دليل المؤشرات'!$E$42,1),0)))</f>
        <v/>
      </c>
      <c r="M26" s="58" t="str">
        <f>IF($B26="","",IF(G26="","",IFERROR(ROUND(IF('دليل المؤشرات'!$D$43="↓",MIN('دليل المؤشرات'!$F$43/G26,1),IF('دليل المؤشرات'!$D$43="★",G26/10,MIN(G26/'دليل المؤشرات'!$F$43,1)))*'دليل المؤشرات'!$E$43,1),0)))</f>
        <v/>
      </c>
      <c r="N26" s="58" t="str">
        <f>IF($B26="","",IF(H26="","",IFERROR(ROUND(IF('دليل المؤشرات'!$D$44="↓",MIN('دليل المؤشرات'!$F$44/H26,1),IF('دليل المؤشرات'!$D$44="★",H26/10,MIN(H26/'دليل المؤشرات'!$F$44,1)))*'دليل المؤشرات'!$E$44,1),0)))</f>
        <v/>
      </c>
      <c r="O26" s="59" t="str">
        <f t="shared" si="0"/>
        <v/>
      </c>
      <c r="P26" s="35" t="str">
        <f t="shared" si="1"/>
        <v/>
      </c>
    </row>
    <row r="27" spans="1:16" ht="21" customHeight="1" x14ac:dyDescent="0.45">
      <c r="A27" s="60">
        <v>24</v>
      </c>
      <c r="B27" s="61"/>
      <c r="C27" s="57"/>
      <c r="D27" s="57"/>
      <c r="E27" s="57"/>
      <c r="F27" s="57"/>
      <c r="G27" s="57"/>
      <c r="H27" s="57"/>
      <c r="I27" s="58" t="str">
        <f>IF($B27="","",IF(C27="","",IFERROR(ROUND(IF('دليل المؤشرات'!$D$39="↓",MIN('دليل المؤشرات'!$F$39/C27,1),IF('دليل المؤشرات'!$D$39="★",C27/10,MIN(C27/'دليل المؤشرات'!$F$39,1)))*'دليل المؤشرات'!$E$39,1),0)))</f>
        <v/>
      </c>
      <c r="J27" s="58" t="str">
        <f>IF($B27="","",IF(D27="","",IFERROR(ROUND(IF('دليل المؤشرات'!$D$40="↓",MIN('دليل المؤشرات'!$F$40/D27,1),IF('دليل المؤشرات'!$D$40="★",D27/10,MIN(D27/'دليل المؤشرات'!$F$40,1)))*'دليل المؤشرات'!$E$40,1),0)))</f>
        <v/>
      </c>
      <c r="K27" s="58" t="str">
        <f>IF($B27="","",IF(E27="","",IFERROR(ROUND(IF('دليل المؤشرات'!$D$41="↓",MIN('دليل المؤشرات'!$F$41/E27,1),IF('دليل المؤشرات'!$D$41="★",E27/10,MIN(E27/'دليل المؤشرات'!$F$41,1)))*'دليل المؤشرات'!$E$41,1),0)))</f>
        <v/>
      </c>
      <c r="L27" s="58" t="str">
        <f>IF($B27="","",IF(F27="","",IFERROR(ROUND(IF('دليل المؤشرات'!$D$42="↓",MIN('دليل المؤشرات'!$F$42/F27,1),IF('دليل المؤشرات'!$D$42="★",F27/10,MIN(F27/'دليل المؤشرات'!$F$42,1)))*'دليل المؤشرات'!$E$42,1),0)))</f>
        <v/>
      </c>
      <c r="M27" s="58" t="str">
        <f>IF($B27="","",IF(G27="","",IFERROR(ROUND(IF('دليل المؤشرات'!$D$43="↓",MIN('دليل المؤشرات'!$F$43/G27,1),IF('دليل المؤشرات'!$D$43="★",G27/10,MIN(G27/'دليل المؤشرات'!$F$43,1)))*'دليل المؤشرات'!$E$43,1),0)))</f>
        <v/>
      </c>
      <c r="N27" s="58" t="str">
        <f>IF($B27="","",IF(H27="","",IFERROR(ROUND(IF('دليل المؤشرات'!$D$44="↓",MIN('دليل المؤشرات'!$F$44/H27,1),IF('دليل المؤشرات'!$D$44="★",H27/10,MIN(H27/'دليل المؤشرات'!$F$44,1)))*'دليل المؤشرات'!$E$44,1),0)))</f>
        <v/>
      </c>
      <c r="O27" s="59" t="str">
        <f t="shared" si="0"/>
        <v/>
      </c>
      <c r="P27" s="39" t="str">
        <f t="shared" si="1"/>
        <v/>
      </c>
    </row>
    <row r="28" spans="1:16" ht="21" customHeight="1" x14ac:dyDescent="0.45">
      <c r="A28" s="55">
        <v>25</v>
      </c>
      <c r="B28" s="56"/>
      <c r="C28" s="57"/>
      <c r="D28" s="57"/>
      <c r="E28" s="57"/>
      <c r="F28" s="57"/>
      <c r="G28" s="57"/>
      <c r="H28" s="57"/>
      <c r="I28" s="58" t="str">
        <f>IF($B28="","",IF(C28="","",IFERROR(ROUND(IF('دليل المؤشرات'!$D$39="↓",MIN('دليل المؤشرات'!$F$39/C28,1),IF('دليل المؤشرات'!$D$39="★",C28/10,MIN(C28/'دليل المؤشرات'!$F$39,1)))*'دليل المؤشرات'!$E$39,1),0)))</f>
        <v/>
      </c>
      <c r="J28" s="58" t="str">
        <f>IF($B28="","",IF(D28="","",IFERROR(ROUND(IF('دليل المؤشرات'!$D$40="↓",MIN('دليل المؤشرات'!$F$40/D28,1),IF('دليل المؤشرات'!$D$40="★",D28/10,MIN(D28/'دليل المؤشرات'!$F$40,1)))*'دليل المؤشرات'!$E$40,1),0)))</f>
        <v/>
      </c>
      <c r="K28" s="58" t="str">
        <f>IF($B28="","",IF(E28="","",IFERROR(ROUND(IF('دليل المؤشرات'!$D$41="↓",MIN('دليل المؤشرات'!$F$41/E28,1),IF('دليل المؤشرات'!$D$41="★",E28/10,MIN(E28/'دليل المؤشرات'!$F$41,1)))*'دليل المؤشرات'!$E$41,1),0)))</f>
        <v/>
      </c>
      <c r="L28" s="58" t="str">
        <f>IF($B28="","",IF(F28="","",IFERROR(ROUND(IF('دليل المؤشرات'!$D$42="↓",MIN('دليل المؤشرات'!$F$42/F28,1),IF('دليل المؤشرات'!$D$42="★",F28/10,MIN(F28/'دليل المؤشرات'!$F$42,1)))*'دليل المؤشرات'!$E$42,1),0)))</f>
        <v/>
      </c>
      <c r="M28" s="58" t="str">
        <f>IF($B28="","",IF(G28="","",IFERROR(ROUND(IF('دليل المؤشرات'!$D$43="↓",MIN('دليل المؤشرات'!$F$43/G28,1),IF('دليل المؤشرات'!$D$43="★",G28/10,MIN(G28/'دليل المؤشرات'!$F$43,1)))*'دليل المؤشرات'!$E$43,1),0)))</f>
        <v/>
      </c>
      <c r="N28" s="58" t="str">
        <f>IF($B28="","",IF(H28="","",IFERROR(ROUND(IF('دليل المؤشرات'!$D$44="↓",MIN('دليل المؤشرات'!$F$44/H28,1),IF('دليل المؤشرات'!$D$44="★",H28/10,MIN(H28/'دليل المؤشرات'!$F$44,1)))*'دليل المؤشرات'!$E$44,1),0)))</f>
        <v/>
      </c>
      <c r="O28" s="59" t="str">
        <f t="shared" si="0"/>
        <v/>
      </c>
      <c r="P28" s="35" t="str">
        <f t="shared" si="1"/>
        <v/>
      </c>
    </row>
    <row r="30" spans="1:16" ht="15" x14ac:dyDescent="0.45">
      <c r="B30" s="89" t="s">
        <v>149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62">
        <f>IFERROR(ROUND(AVERAGE(O4:O28),1),0)</f>
        <v>77.599999999999994</v>
      </c>
      <c r="P30" s="27" t="str">
        <f>COUNTA(B4:B28)&amp;" موظف"</f>
        <v>16 موظف</v>
      </c>
    </row>
  </sheetData>
  <mergeCells count="2">
    <mergeCell ref="A1:P1"/>
    <mergeCell ref="B30:N30"/>
  </mergeCells>
  <conditionalFormatting sqref="O4:O28">
    <cfRule type="colorScale" priority="2">
      <colorScale>
        <cfvo type="num" val="40"/>
        <cfvo type="num" val="70"/>
        <cfvo type="num" val="95"/>
        <color rgb="FFF2A9A2"/>
        <color rgb="FFFBE3A6"/>
        <color rgb="FFA6D2B4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2"/>
  <sheetViews>
    <sheetView showGridLines="0" rightToLeft="1" tabSelected="1" zoomScaleNormal="100" workbookViewId="0">
      <pane ySplit="2" topLeftCell="A3" activePane="bottomLeft" state="frozen"/>
      <selection pane="bottomLeft" activeCell="E15" sqref="E15"/>
    </sheetView>
  </sheetViews>
  <sheetFormatPr defaultColWidth="8.6640625" defaultRowHeight="14.25" x14ac:dyDescent="0.45"/>
  <cols>
    <col min="1" max="1" width="4" customWidth="1"/>
    <col min="2" max="3" width="26" customWidth="1"/>
    <col min="4" max="4" width="12" customWidth="1"/>
    <col min="5" max="5" width="15" customWidth="1"/>
    <col min="6" max="6" width="12" customWidth="1"/>
    <col min="7" max="7" width="9" hidden="1" customWidth="1"/>
  </cols>
  <sheetData>
    <row r="1" spans="1:7" ht="33.75" customHeight="1" x14ac:dyDescent="0.45">
      <c r="A1" s="86" t="s">
        <v>242</v>
      </c>
      <c r="B1" s="86"/>
      <c r="C1" s="86"/>
      <c r="D1" s="86"/>
      <c r="E1" s="86"/>
      <c r="F1" s="86"/>
      <c r="G1" s="86"/>
    </row>
    <row r="2" spans="1:7" x14ac:dyDescent="0.45">
      <c r="A2" s="34" t="s">
        <v>121</v>
      </c>
      <c r="B2" s="34" t="s">
        <v>13</v>
      </c>
      <c r="C2" s="34" t="s">
        <v>9</v>
      </c>
      <c r="D2" s="34" t="s">
        <v>243</v>
      </c>
      <c r="E2" s="34" t="s">
        <v>12</v>
      </c>
      <c r="F2" s="34" t="s">
        <v>244</v>
      </c>
      <c r="G2" s="34" t="s">
        <v>245</v>
      </c>
    </row>
    <row r="3" spans="1:7" x14ac:dyDescent="0.45">
      <c r="A3" s="60">
        <f>IF(B3="","",COUNTA($B$3:B3))</f>
        <v>1</v>
      </c>
      <c r="B3" s="24" t="str">
        <f>IF('التسويق والمبيعات'!B4="","",'التسويق والمبيعات'!B4)</f>
        <v>فهد القحطاني</v>
      </c>
      <c r="C3" s="63" t="str">
        <f>IF('التسويق والمبيعات'!B4="","","التسويق والمبيعات")</f>
        <v>التسويق والمبيعات</v>
      </c>
      <c r="D3" s="64">
        <f>IF('التسويق والمبيعات'!B4="","",'التسويق والمبيعات'!O4)</f>
        <v>95.4</v>
      </c>
      <c r="E3" s="65" t="str">
        <f t="shared" ref="E3:E34" si="0">IF(D3="","",IF(D3&gt;=90,"أداء متميز",IF(D3&gt;=75,"يفوق التوقعات",IF(D3&gt;=60,"يلبّي التوقعات",IF(D3&gt;=45,"يحتاج تطوير","غير مُرضٍ")))))</f>
        <v>أداء متميز</v>
      </c>
      <c r="F3" s="66">
        <f>IF(D3="","",RANK(D3,$D$3:$D$152)+COUNTIF($D$3:D3,D3)-1)</f>
        <v>14</v>
      </c>
      <c r="G3" s="67">
        <f t="shared" ref="G3:G34" si="1">IF(D3="","",D3+ROW()/100000)</f>
        <v>95.400030000000001</v>
      </c>
    </row>
    <row r="4" spans="1:7" x14ac:dyDescent="0.45">
      <c r="A4" s="55">
        <f>IF(B4="","",COUNTA($B$3:B4))</f>
        <v>2</v>
      </c>
      <c r="B4" s="17" t="str">
        <f>IF('التسويق والمبيعات'!B5="","",'التسويق والمبيعات'!B5)</f>
        <v>هند القحطاني</v>
      </c>
      <c r="C4" s="68" t="str">
        <f>IF('التسويق والمبيعات'!B5="","","التسويق والمبيعات")</f>
        <v>التسويق والمبيعات</v>
      </c>
      <c r="D4" s="64">
        <f>IF('التسويق والمبيعات'!B5="","",'التسويق والمبيعات'!O5)</f>
        <v>76</v>
      </c>
      <c r="E4" s="69" t="str">
        <f t="shared" si="0"/>
        <v>يفوق التوقعات</v>
      </c>
      <c r="F4" s="70">
        <f>IF(D4="","",RANK(D4,$D$3:$D$152)+COUNTIF($D$3:D4,D4)-1)</f>
        <v>64</v>
      </c>
      <c r="G4" s="71">
        <f t="shared" si="1"/>
        <v>76.000039999999998</v>
      </c>
    </row>
    <row r="5" spans="1:7" x14ac:dyDescent="0.45">
      <c r="A5" s="60">
        <f>IF(B5="","",COUNTA($B$3:B5))</f>
        <v>3</v>
      </c>
      <c r="B5" s="24" t="str">
        <f>IF('التسويق والمبيعات'!B6="","",'التسويق والمبيعات'!B6)</f>
        <v>رغد المطيري</v>
      </c>
      <c r="C5" s="63" t="str">
        <f>IF('التسويق والمبيعات'!B6="","","التسويق والمبيعات")</f>
        <v>التسويق والمبيعات</v>
      </c>
      <c r="D5" s="64">
        <f>IF('التسويق والمبيعات'!B6="","",'التسويق والمبيعات'!O6)</f>
        <v>73.599999999999994</v>
      </c>
      <c r="E5" s="65" t="str">
        <f t="shared" si="0"/>
        <v>يلبّي التوقعات</v>
      </c>
      <c r="F5" s="66">
        <f>IF(D5="","",RANK(D5,$D$3:$D$152)+COUNTIF($D$3:D5,D5)-1)</f>
        <v>68</v>
      </c>
      <c r="G5" s="67">
        <f t="shared" si="1"/>
        <v>73.600049999999996</v>
      </c>
    </row>
    <row r="6" spans="1:7" x14ac:dyDescent="0.45">
      <c r="A6" s="55">
        <f>IF(B6="","",COUNTA($B$3:B6))</f>
        <v>4</v>
      </c>
      <c r="B6" s="17" t="str">
        <f>IF('التسويق والمبيعات'!B7="","",'التسويق والمبيعات'!B7)</f>
        <v>وعد البقمي</v>
      </c>
      <c r="C6" s="68" t="str">
        <f>IF('التسويق والمبيعات'!B7="","","التسويق والمبيعات")</f>
        <v>التسويق والمبيعات</v>
      </c>
      <c r="D6" s="64">
        <f>IF('التسويق والمبيعات'!B7="","",'التسويق والمبيعات'!O7)</f>
        <v>78</v>
      </c>
      <c r="E6" s="69" t="str">
        <f t="shared" si="0"/>
        <v>يفوق التوقعات</v>
      </c>
      <c r="F6" s="70">
        <f>IF(D6="","",RANK(D6,$D$3:$D$152)+COUNTIF($D$3:D6,D6)-1)</f>
        <v>54</v>
      </c>
      <c r="G6" s="71">
        <f t="shared" si="1"/>
        <v>78.000060000000005</v>
      </c>
    </row>
    <row r="7" spans="1:7" x14ac:dyDescent="0.45">
      <c r="A7" s="60">
        <f>IF(B7="","",COUNTA($B$3:B7))</f>
        <v>5</v>
      </c>
      <c r="B7" s="24" t="str">
        <f>IF('التسويق والمبيعات'!B8="","",'التسويق والمبيعات'!B8)</f>
        <v>بيان الغامدي</v>
      </c>
      <c r="C7" s="63" t="str">
        <f>IF('التسويق والمبيعات'!B8="","","التسويق والمبيعات")</f>
        <v>التسويق والمبيعات</v>
      </c>
      <c r="D7" s="64">
        <f>IF('التسويق والمبيعات'!B8="","",'التسويق والمبيعات'!O8)</f>
        <v>78.5</v>
      </c>
      <c r="E7" s="65" t="str">
        <f t="shared" si="0"/>
        <v>يفوق التوقعات</v>
      </c>
      <c r="F7" s="66">
        <f>IF(D7="","",RANK(D7,$D$3:$D$152)+COUNTIF($D$3:D7,D7)-1)</f>
        <v>53</v>
      </c>
      <c r="G7" s="67">
        <f t="shared" si="1"/>
        <v>78.500069999999994</v>
      </c>
    </row>
    <row r="8" spans="1:7" x14ac:dyDescent="0.45">
      <c r="A8" s="55">
        <f>IF(B8="","",COUNTA($B$3:B8))</f>
        <v>6</v>
      </c>
      <c r="B8" s="17" t="str">
        <f>IF('التسويق والمبيعات'!B9="","",'التسويق والمبيعات'!B9)</f>
        <v>عبدالرحمن الحربي</v>
      </c>
      <c r="C8" s="68" t="str">
        <f>IF('التسويق والمبيعات'!B9="","","التسويق والمبيعات")</f>
        <v>التسويق والمبيعات</v>
      </c>
      <c r="D8" s="64">
        <f>IF('التسويق والمبيعات'!B9="","",'التسويق والمبيعات'!O9)</f>
        <v>63.6</v>
      </c>
      <c r="E8" s="69" t="str">
        <f t="shared" si="0"/>
        <v>يلبّي التوقعات</v>
      </c>
      <c r="F8" s="70">
        <f>IF(D8="","",RANK(D8,$D$3:$D$152)+COUNTIF($D$3:D8,D8)-1)</f>
        <v>89</v>
      </c>
      <c r="G8" s="71">
        <f t="shared" si="1"/>
        <v>63.600079999999998</v>
      </c>
    </row>
    <row r="9" spans="1:7" x14ac:dyDescent="0.45">
      <c r="A9" s="60">
        <f>IF(B9="","",COUNTA($B$3:B9))</f>
        <v>7</v>
      </c>
      <c r="B9" s="24" t="str">
        <f>IF('التسويق والمبيعات'!B10="","",'التسويق والمبيعات'!B10)</f>
        <v>ماجد الجهني</v>
      </c>
      <c r="C9" s="63" t="str">
        <f>IF('التسويق والمبيعات'!B10="","","التسويق والمبيعات")</f>
        <v>التسويق والمبيعات</v>
      </c>
      <c r="D9" s="64">
        <f>IF('التسويق والمبيعات'!B10="","",'التسويق والمبيعات'!O10)</f>
        <v>70.8</v>
      </c>
      <c r="E9" s="65" t="str">
        <f t="shared" si="0"/>
        <v>يلبّي التوقعات</v>
      </c>
      <c r="F9" s="66">
        <f>IF(D9="","",RANK(D9,$D$3:$D$152)+COUNTIF($D$3:D9,D9)-1)</f>
        <v>77</v>
      </c>
      <c r="G9" s="67">
        <f t="shared" si="1"/>
        <v>70.800089999999997</v>
      </c>
    </row>
    <row r="10" spans="1:7" x14ac:dyDescent="0.45">
      <c r="A10" s="55">
        <f>IF(B10="","",COUNTA($B$3:B10))</f>
        <v>8</v>
      </c>
      <c r="B10" s="17" t="str">
        <f>IF('التسويق والمبيعات'!B11="","",'التسويق والمبيعات'!B11)</f>
        <v>مها الخالدي</v>
      </c>
      <c r="C10" s="68" t="str">
        <f>IF('التسويق والمبيعات'!B11="","","التسويق والمبيعات")</f>
        <v>التسويق والمبيعات</v>
      </c>
      <c r="D10" s="64">
        <f>IF('التسويق والمبيعات'!B11="","",'التسويق والمبيعات'!O11)</f>
        <v>100</v>
      </c>
      <c r="E10" s="69" t="str">
        <f t="shared" si="0"/>
        <v>أداء متميز</v>
      </c>
      <c r="F10" s="70">
        <f>IF(D10="","",RANK(D10,$D$3:$D$152)+COUNTIF($D$3:D10,D10)-1)</f>
        <v>1</v>
      </c>
      <c r="G10" s="71">
        <f t="shared" si="1"/>
        <v>100.0001</v>
      </c>
    </row>
    <row r="11" spans="1:7" x14ac:dyDescent="0.45">
      <c r="A11" s="60">
        <f>IF(B11="","",COUNTA($B$3:B11))</f>
        <v>9</v>
      </c>
      <c r="B11" s="24" t="str">
        <f>IF('التسويق والمبيعات'!B12="","",'التسويق والمبيعات'!B12)</f>
        <v>مشعل العنزي</v>
      </c>
      <c r="C11" s="63" t="str">
        <f>IF('التسويق والمبيعات'!B12="","","التسويق والمبيعات")</f>
        <v>التسويق والمبيعات</v>
      </c>
      <c r="D11" s="64">
        <f>IF('التسويق والمبيعات'!B12="","",'التسويق والمبيعات'!O12)</f>
        <v>88.4</v>
      </c>
      <c r="E11" s="65" t="str">
        <f t="shared" si="0"/>
        <v>يفوق التوقعات</v>
      </c>
      <c r="F11" s="66">
        <f>IF(D11="","",RANK(D11,$D$3:$D$152)+COUNTIF($D$3:D11,D11)-1)</f>
        <v>31</v>
      </c>
      <c r="G11" s="67">
        <f t="shared" si="1"/>
        <v>88.400110000000012</v>
      </c>
    </row>
    <row r="12" spans="1:7" x14ac:dyDescent="0.45">
      <c r="A12" s="55">
        <f>IF(B12="","",COUNTA($B$3:B12))</f>
        <v>10</v>
      </c>
      <c r="B12" s="17" t="str">
        <f>IF('التسويق والمبيعات'!B13="","",'التسويق والمبيعات'!B13)</f>
        <v>أمل البقمي</v>
      </c>
      <c r="C12" s="68" t="str">
        <f>IF('التسويق والمبيعات'!B13="","","التسويق والمبيعات")</f>
        <v>التسويق والمبيعات</v>
      </c>
      <c r="D12" s="64">
        <f>IF('التسويق والمبيعات'!B13="","",'التسويق والمبيعات'!O13)</f>
        <v>87.7</v>
      </c>
      <c r="E12" s="69" t="str">
        <f t="shared" si="0"/>
        <v>يفوق التوقعات</v>
      </c>
      <c r="F12" s="70">
        <f>IF(D12="","",RANK(D12,$D$3:$D$152)+COUNTIF($D$3:D12,D12)-1)</f>
        <v>33</v>
      </c>
      <c r="G12" s="71">
        <f t="shared" si="1"/>
        <v>87.700119999999998</v>
      </c>
    </row>
    <row r="13" spans="1:7" x14ac:dyDescent="0.45">
      <c r="A13" s="60">
        <f>IF(B13="","",COUNTA($B$3:B13))</f>
        <v>11</v>
      </c>
      <c r="B13" s="24" t="str">
        <f>IF('التسويق والمبيعات'!B14="","",'التسويق والمبيعات'!B14)</f>
        <v>وليد الشمري</v>
      </c>
      <c r="C13" s="63" t="str">
        <f>IF('التسويق والمبيعات'!B14="","","التسويق والمبيعات")</f>
        <v>التسويق والمبيعات</v>
      </c>
      <c r="D13" s="64">
        <f>IF('التسويق والمبيعات'!B14="","",'التسويق والمبيعات'!O14)</f>
        <v>72.400000000000006</v>
      </c>
      <c r="E13" s="65" t="str">
        <f t="shared" si="0"/>
        <v>يلبّي التوقعات</v>
      </c>
      <c r="F13" s="66">
        <f>IF(D13="","",RANK(D13,$D$3:$D$152)+COUNTIF($D$3:D13,D13)-1)</f>
        <v>72</v>
      </c>
      <c r="G13" s="67">
        <f t="shared" si="1"/>
        <v>72.400130000000004</v>
      </c>
    </row>
    <row r="14" spans="1:7" x14ac:dyDescent="0.45">
      <c r="A14" s="55">
        <f>IF(B14="","",COUNTA($B$3:B14))</f>
        <v>12</v>
      </c>
      <c r="B14" s="17" t="str">
        <f>IF('التسويق والمبيعات'!B15="","",'التسويق والمبيعات'!B15)</f>
        <v>مشعل الشمري</v>
      </c>
      <c r="C14" s="68" t="str">
        <f>IF('التسويق والمبيعات'!B15="","","التسويق والمبيعات")</f>
        <v>التسويق والمبيعات</v>
      </c>
      <c r="D14" s="64">
        <f>IF('التسويق والمبيعات'!B15="","",'التسويق والمبيعات'!O15)</f>
        <v>84.9</v>
      </c>
      <c r="E14" s="69" t="str">
        <f t="shared" si="0"/>
        <v>يفوق التوقعات</v>
      </c>
      <c r="F14" s="70">
        <f>IF(D14="","",RANK(D14,$D$3:$D$152)+COUNTIF($D$3:D14,D14)-1)</f>
        <v>40</v>
      </c>
      <c r="G14" s="71">
        <f t="shared" si="1"/>
        <v>84.900140000000007</v>
      </c>
    </row>
    <row r="15" spans="1:7" x14ac:dyDescent="0.45">
      <c r="A15" s="60">
        <f>IF(B15="","",COUNTA($B$3:B15))</f>
        <v>13</v>
      </c>
      <c r="B15" s="24" t="str">
        <f>IF('التسويق والمبيعات'!B16="","",'التسويق والمبيعات'!B16)</f>
        <v>ريان الشمري</v>
      </c>
      <c r="C15" s="63" t="str">
        <f>IF('التسويق والمبيعات'!B16="","","التسويق والمبيعات")</f>
        <v>التسويق والمبيعات</v>
      </c>
      <c r="D15" s="64">
        <f>IF('التسويق والمبيعات'!B16="","",'التسويق والمبيعات'!O16)</f>
        <v>86.8</v>
      </c>
      <c r="E15" s="65" t="str">
        <f t="shared" si="0"/>
        <v>يفوق التوقعات</v>
      </c>
      <c r="F15" s="66">
        <f>IF(D15="","",RANK(D15,$D$3:$D$152)+COUNTIF($D$3:D15,D15)-1)</f>
        <v>35</v>
      </c>
      <c r="G15" s="67">
        <f t="shared" si="1"/>
        <v>86.800150000000002</v>
      </c>
    </row>
    <row r="16" spans="1:7" x14ac:dyDescent="0.45">
      <c r="A16" s="55">
        <f>IF(B16="","",COUNTA($B$3:B16))</f>
        <v>14</v>
      </c>
      <c r="B16" s="17" t="str">
        <f>IF('التسويق والمبيعات'!B17="","",'التسويق والمبيعات'!B17)</f>
        <v>هند الحارثي</v>
      </c>
      <c r="C16" s="68" t="str">
        <f>IF('التسويق والمبيعات'!B17="","","التسويق والمبيعات")</f>
        <v>التسويق والمبيعات</v>
      </c>
      <c r="D16" s="64">
        <f>IF('التسويق والمبيعات'!B17="","",'التسويق والمبيعات'!O17)</f>
        <v>80.8</v>
      </c>
      <c r="E16" s="69" t="str">
        <f t="shared" si="0"/>
        <v>يفوق التوقعات</v>
      </c>
      <c r="F16" s="70">
        <f>IF(D16="","",RANK(D16,$D$3:$D$152)+COUNTIF($D$3:D16,D16)-1)</f>
        <v>48</v>
      </c>
      <c r="G16" s="71">
        <f t="shared" si="1"/>
        <v>80.800159999999991</v>
      </c>
    </row>
    <row r="17" spans="1:7" x14ac:dyDescent="0.45">
      <c r="A17" s="60">
        <f>IF(B17="","",COUNTA($B$3:B17))</f>
        <v>15</v>
      </c>
      <c r="B17" s="24" t="str">
        <f>IF('التسويق والمبيعات'!B18="","",'التسويق والمبيعات'!B18)</f>
        <v>مها المطيري</v>
      </c>
      <c r="C17" s="63" t="str">
        <f>IF('التسويق والمبيعات'!B18="","","التسويق والمبيعات")</f>
        <v>التسويق والمبيعات</v>
      </c>
      <c r="D17" s="64">
        <f>IF('التسويق والمبيعات'!B18="","",'التسويق والمبيعات'!O18)</f>
        <v>78.900000000000006</v>
      </c>
      <c r="E17" s="65" t="str">
        <f t="shared" si="0"/>
        <v>يفوق التوقعات</v>
      </c>
      <c r="F17" s="66">
        <f>IF(D17="","",RANK(D17,$D$3:$D$152)+COUNTIF($D$3:D17,D17)-1)</f>
        <v>52</v>
      </c>
      <c r="G17" s="67">
        <f t="shared" si="1"/>
        <v>78.900170000000003</v>
      </c>
    </row>
    <row r="18" spans="1:7" x14ac:dyDescent="0.45">
      <c r="A18" s="55">
        <f>IF(B18="","",COUNTA($B$3:B18))</f>
        <v>16</v>
      </c>
      <c r="B18" s="17" t="str">
        <f>IF('التسويق والمبيعات'!B19="","",'التسويق والمبيعات'!B19)</f>
        <v>أمل الحربي</v>
      </c>
      <c r="C18" s="68" t="str">
        <f>IF('التسويق والمبيعات'!B19="","","التسويق والمبيعات")</f>
        <v>التسويق والمبيعات</v>
      </c>
      <c r="D18" s="64">
        <f>IF('التسويق والمبيعات'!B19="","",'التسويق والمبيعات'!O19)</f>
        <v>76.099999999999994</v>
      </c>
      <c r="E18" s="69" t="str">
        <f t="shared" si="0"/>
        <v>يفوق التوقعات</v>
      </c>
      <c r="F18" s="70">
        <f>IF(D18="","",RANK(D18,$D$3:$D$152)+COUNTIF($D$3:D18,D18)-1)</f>
        <v>62</v>
      </c>
      <c r="G18" s="71">
        <f t="shared" si="1"/>
        <v>76.100179999999995</v>
      </c>
    </row>
    <row r="19" spans="1:7" x14ac:dyDescent="0.45">
      <c r="A19" s="60">
        <f>IF(B19="","",COUNTA($B$3:B19))</f>
        <v>17</v>
      </c>
      <c r="B19" s="24" t="str">
        <f>IF('التسويق والمبيعات'!B20="","",'التسويق والمبيعات'!B20)</f>
        <v>فيصل الزائدي</v>
      </c>
      <c r="C19" s="63" t="str">
        <f>IF('التسويق والمبيعات'!B20="","","التسويق والمبيعات")</f>
        <v>التسويق والمبيعات</v>
      </c>
      <c r="D19" s="64">
        <f>IF('التسويق والمبيعات'!B20="","",'التسويق والمبيعات'!O20)</f>
        <v>78</v>
      </c>
      <c r="E19" s="65" t="str">
        <f t="shared" si="0"/>
        <v>يفوق التوقعات</v>
      </c>
      <c r="F19" s="66">
        <f>IF(D19="","",RANK(D19,$D$3:$D$152)+COUNTIF($D$3:D19,D19)-1)</f>
        <v>55</v>
      </c>
      <c r="G19" s="67">
        <f t="shared" si="1"/>
        <v>78.000190000000003</v>
      </c>
    </row>
    <row r="20" spans="1:7" x14ac:dyDescent="0.45">
      <c r="A20" s="55">
        <f>IF(B20="","",COUNTA($B$3:B20))</f>
        <v>18</v>
      </c>
      <c r="B20" s="17" t="str">
        <f>IF('التسويق والمبيعات'!B21="","",'التسويق والمبيعات'!B21)</f>
        <v>رزان الشهراني</v>
      </c>
      <c r="C20" s="68" t="str">
        <f>IF('التسويق والمبيعات'!B21="","","التسويق والمبيعات")</f>
        <v>التسويق والمبيعات</v>
      </c>
      <c r="D20" s="64">
        <f>IF('التسويق والمبيعات'!B21="","",'التسويق والمبيعات'!O21)</f>
        <v>77.5</v>
      </c>
      <c r="E20" s="69" t="str">
        <f t="shared" si="0"/>
        <v>يفوق التوقعات</v>
      </c>
      <c r="F20" s="70">
        <f>IF(D20="","",RANK(D20,$D$3:$D$152)+COUNTIF($D$3:D20,D20)-1)</f>
        <v>57</v>
      </c>
      <c r="G20" s="71">
        <f t="shared" si="1"/>
        <v>77.500200000000007</v>
      </c>
    </row>
    <row r="21" spans="1:7" x14ac:dyDescent="0.45">
      <c r="A21" s="60" t="str">
        <f>IF(B21="","",COUNTA($B$3:B21))</f>
        <v/>
      </c>
      <c r="B21" s="24" t="str">
        <f>IF('التسويق والمبيعات'!B22="","",'التسويق والمبيعات'!B22)</f>
        <v/>
      </c>
      <c r="C21" s="63" t="str">
        <f>IF('التسويق والمبيعات'!B22="","","التسويق والمبيعات")</f>
        <v/>
      </c>
      <c r="D21" s="64" t="str">
        <f>IF('التسويق والمبيعات'!B22="","",'التسويق والمبيعات'!O22)</f>
        <v/>
      </c>
      <c r="E21" s="65" t="str">
        <f t="shared" si="0"/>
        <v/>
      </c>
      <c r="F21" s="66" t="str">
        <f>IF(D21="","",RANK(D21,$D$3:$D$152)+COUNTIF($D$3:D21,D21)-1)</f>
        <v/>
      </c>
      <c r="G21" s="67" t="str">
        <f t="shared" si="1"/>
        <v/>
      </c>
    </row>
    <row r="22" spans="1:7" x14ac:dyDescent="0.45">
      <c r="A22" s="55" t="str">
        <f>IF(B22="","",COUNTA($B$3:B22))</f>
        <v/>
      </c>
      <c r="B22" s="17" t="str">
        <f>IF('التسويق والمبيعات'!B23="","",'التسويق والمبيعات'!B23)</f>
        <v/>
      </c>
      <c r="C22" s="68" t="str">
        <f>IF('التسويق والمبيعات'!B23="","","التسويق والمبيعات")</f>
        <v/>
      </c>
      <c r="D22" s="64" t="str">
        <f>IF('التسويق والمبيعات'!B23="","",'التسويق والمبيعات'!O23)</f>
        <v/>
      </c>
      <c r="E22" s="69" t="str">
        <f t="shared" si="0"/>
        <v/>
      </c>
      <c r="F22" s="70" t="str">
        <f>IF(D22="","",RANK(D22,$D$3:$D$152)+COUNTIF($D$3:D22,D22)-1)</f>
        <v/>
      </c>
      <c r="G22" s="71" t="str">
        <f t="shared" si="1"/>
        <v/>
      </c>
    </row>
    <row r="23" spans="1:7" x14ac:dyDescent="0.45">
      <c r="A23" s="60" t="str">
        <f>IF(B23="","",COUNTA($B$3:B23))</f>
        <v/>
      </c>
      <c r="B23" s="24" t="str">
        <f>IF('التسويق والمبيعات'!B24="","",'التسويق والمبيعات'!B24)</f>
        <v/>
      </c>
      <c r="C23" s="63" t="str">
        <f>IF('التسويق والمبيعات'!B24="","","التسويق والمبيعات")</f>
        <v/>
      </c>
      <c r="D23" s="64" t="str">
        <f>IF('التسويق والمبيعات'!B24="","",'التسويق والمبيعات'!O24)</f>
        <v/>
      </c>
      <c r="E23" s="65" t="str">
        <f t="shared" si="0"/>
        <v/>
      </c>
      <c r="F23" s="66" t="str">
        <f>IF(D23="","",RANK(D23,$D$3:$D$152)+COUNTIF($D$3:D23,D23)-1)</f>
        <v/>
      </c>
      <c r="G23" s="67" t="str">
        <f t="shared" si="1"/>
        <v/>
      </c>
    </row>
    <row r="24" spans="1:7" x14ac:dyDescent="0.45">
      <c r="A24" s="55" t="str">
        <f>IF(B24="","",COUNTA($B$3:B24))</f>
        <v/>
      </c>
      <c r="B24" s="17" t="str">
        <f>IF('التسويق والمبيعات'!B25="","",'التسويق والمبيعات'!B25)</f>
        <v/>
      </c>
      <c r="C24" s="68" t="str">
        <f>IF('التسويق والمبيعات'!B25="","","التسويق والمبيعات")</f>
        <v/>
      </c>
      <c r="D24" s="64" t="str">
        <f>IF('التسويق والمبيعات'!B25="","",'التسويق والمبيعات'!O25)</f>
        <v/>
      </c>
      <c r="E24" s="69" t="str">
        <f t="shared" si="0"/>
        <v/>
      </c>
      <c r="F24" s="70" t="str">
        <f>IF(D24="","",RANK(D24,$D$3:$D$152)+COUNTIF($D$3:D24,D24)-1)</f>
        <v/>
      </c>
      <c r="G24" s="71" t="str">
        <f t="shared" si="1"/>
        <v/>
      </c>
    </row>
    <row r="25" spans="1:7" x14ac:dyDescent="0.45">
      <c r="A25" s="60" t="str">
        <f>IF(B25="","",COUNTA($B$3:B25))</f>
        <v/>
      </c>
      <c r="B25" s="24" t="str">
        <f>IF('التسويق والمبيعات'!B26="","",'التسويق والمبيعات'!B26)</f>
        <v/>
      </c>
      <c r="C25" s="63" t="str">
        <f>IF('التسويق والمبيعات'!B26="","","التسويق والمبيعات")</f>
        <v/>
      </c>
      <c r="D25" s="64" t="str">
        <f>IF('التسويق والمبيعات'!B26="","",'التسويق والمبيعات'!O26)</f>
        <v/>
      </c>
      <c r="E25" s="65" t="str">
        <f t="shared" si="0"/>
        <v/>
      </c>
      <c r="F25" s="66" t="str">
        <f>IF(D25="","",RANK(D25,$D$3:$D$152)+COUNTIF($D$3:D25,D25)-1)</f>
        <v/>
      </c>
      <c r="G25" s="67" t="str">
        <f t="shared" si="1"/>
        <v/>
      </c>
    </row>
    <row r="26" spans="1:7" x14ac:dyDescent="0.45">
      <c r="A26" s="55" t="str">
        <f>IF(B26="","",COUNTA($B$3:B26))</f>
        <v/>
      </c>
      <c r="B26" s="17" t="str">
        <f>IF('التسويق والمبيعات'!B27="","",'التسويق والمبيعات'!B27)</f>
        <v/>
      </c>
      <c r="C26" s="68" t="str">
        <f>IF('التسويق والمبيعات'!B27="","","التسويق والمبيعات")</f>
        <v/>
      </c>
      <c r="D26" s="64" t="str">
        <f>IF('التسويق والمبيعات'!B27="","",'التسويق والمبيعات'!O27)</f>
        <v/>
      </c>
      <c r="E26" s="69" t="str">
        <f t="shared" si="0"/>
        <v/>
      </c>
      <c r="F26" s="70" t="str">
        <f>IF(D26="","",RANK(D26,$D$3:$D$152)+COUNTIF($D$3:D26,D26)-1)</f>
        <v/>
      </c>
      <c r="G26" s="71" t="str">
        <f t="shared" si="1"/>
        <v/>
      </c>
    </row>
    <row r="27" spans="1:7" x14ac:dyDescent="0.45">
      <c r="A27" s="60" t="str">
        <f>IF(B27="","",COUNTA($B$3:B27))</f>
        <v/>
      </c>
      <c r="B27" s="24" t="str">
        <f>IF('التسويق والمبيعات'!B28="","",'التسويق والمبيعات'!B28)</f>
        <v/>
      </c>
      <c r="C27" s="63" t="str">
        <f>IF('التسويق والمبيعات'!B28="","","التسويق والمبيعات")</f>
        <v/>
      </c>
      <c r="D27" s="64" t="str">
        <f>IF('التسويق والمبيعات'!B28="","",'التسويق والمبيعات'!O28)</f>
        <v/>
      </c>
      <c r="E27" s="65" t="str">
        <f t="shared" si="0"/>
        <v/>
      </c>
      <c r="F27" s="66" t="str">
        <f>IF(D27="","",RANK(D27,$D$3:$D$152)+COUNTIF($D$3:D27,D27)-1)</f>
        <v/>
      </c>
      <c r="G27" s="67" t="str">
        <f t="shared" si="1"/>
        <v/>
      </c>
    </row>
    <row r="28" spans="1:7" x14ac:dyDescent="0.45">
      <c r="A28" s="55">
        <f>IF(B28="","",COUNTA($B$3:B28))</f>
        <v>26</v>
      </c>
      <c r="B28" s="17" t="str">
        <f>IF('استقطاب المواهب'!B4="","",'استقطاب المواهب'!B4)</f>
        <v>نواف الشهري</v>
      </c>
      <c r="C28" s="68" t="str">
        <f>IF('استقطاب المواهب'!B4="","","استقطاب المواهب")</f>
        <v>استقطاب المواهب</v>
      </c>
      <c r="D28" s="64">
        <f>IF('استقطاب المواهب'!B4="","",'استقطاب المواهب'!O4)</f>
        <v>69.2</v>
      </c>
      <c r="E28" s="69" t="str">
        <f t="shared" si="0"/>
        <v>يلبّي التوقعات</v>
      </c>
      <c r="F28" s="70">
        <f>IF(D28="","",RANK(D28,$D$3:$D$152)+COUNTIF($D$3:D28,D28)-1)</f>
        <v>82</v>
      </c>
      <c r="G28" s="71">
        <f t="shared" si="1"/>
        <v>69.200280000000006</v>
      </c>
    </row>
    <row r="29" spans="1:7" x14ac:dyDescent="0.45">
      <c r="A29" s="60">
        <f>IF(B29="","",COUNTA($B$3:B29))</f>
        <v>27</v>
      </c>
      <c r="B29" s="24" t="str">
        <f>IF('استقطاب المواهب'!B5="","",'استقطاب المواهب'!B5)</f>
        <v>يزيد المالكي</v>
      </c>
      <c r="C29" s="63" t="str">
        <f>IF('استقطاب المواهب'!B5="","","استقطاب المواهب")</f>
        <v>استقطاب المواهب</v>
      </c>
      <c r="D29" s="64">
        <f>IF('استقطاب المواهب'!B5="","",'استقطاب المواهب'!O5)</f>
        <v>68.2</v>
      </c>
      <c r="E29" s="65" t="str">
        <f t="shared" si="0"/>
        <v>يلبّي التوقعات</v>
      </c>
      <c r="F29" s="66">
        <f>IF(D29="","",RANK(D29,$D$3:$D$152)+COUNTIF($D$3:D29,D29)-1)</f>
        <v>84</v>
      </c>
      <c r="G29" s="67">
        <f t="shared" si="1"/>
        <v>68.20029000000001</v>
      </c>
    </row>
    <row r="30" spans="1:7" x14ac:dyDescent="0.45">
      <c r="A30" s="55">
        <f>IF(B30="","",COUNTA($B$3:B30))</f>
        <v>28</v>
      </c>
      <c r="B30" s="17" t="str">
        <f>IF('استقطاب المواهب'!B6="","",'استقطاب المواهب'!B6)</f>
        <v>محمد الشهري</v>
      </c>
      <c r="C30" s="68" t="str">
        <f>IF('استقطاب المواهب'!B6="","","استقطاب المواهب")</f>
        <v>استقطاب المواهب</v>
      </c>
      <c r="D30" s="64">
        <f>IF('استقطاب المواهب'!B6="","",'استقطاب المواهب'!O6)</f>
        <v>66</v>
      </c>
      <c r="E30" s="69" t="str">
        <f t="shared" si="0"/>
        <v>يلبّي التوقعات</v>
      </c>
      <c r="F30" s="70">
        <f>IF(D30="","",RANK(D30,$D$3:$D$152)+COUNTIF($D$3:D30,D30)-1)</f>
        <v>87</v>
      </c>
      <c r="G30" s="71">
        <f t="shared" si="1"/>
        <v>66.000299999999996</v>
      </c>
    </row>
    <row r="31" spans="1:7" x14ac:dyDescent="0.45">
      <c r="A31" s="60">
        <f>IF(B31="","",COUNTA($B$3:B31))</f>
        <v>29</v>
      </c>
      <c r="B31" s="24" t="str">
        <f>IF('استقطاب المواهب'!B7="","",'استقطاب المواهب'!B7)</f>
        <v>نواف المالكي</v>
      </c>
      <c r="C31" s="63" t="str">
        <f>IF('استقطاب المواهب'!B7="","","استقطاب المواهب")</f>
        <v>استقطاب المواهب</v>
      </c>
      <c r="D31" s="64">
        <f>IF('استقطاب المواهب'!B7="","",'استقطاب المواهب'!O7)</f>
        <v>57</v>
      </c>
      <c r="E31" s="65" t="str">
        <f t="shared" si="0"/>
        <v>يحتاج تطوير</v>
      </c>
      <c r="F31" s="66">
        <f>IF(D31="","",RANK(D31,$D$3:$D$152)+COUNTIF($D$3:D31,D31)-1)</f>
        <v>95</v>
      </c>
      <c r="G31" s="67">
        <f t="shared" si="1"/>
        <v>57.000309999999999</v>
      </c>
    </row>
    <row r="32" spans="1:7" x14ac:dyDescent="0.45">
      <c r="A32" s="55">
        <f>IF(B32="","",COUNTA($B$3:B32))</f>
        <v>30</v>
      </c>
      <c r="B32" s="17" t="str">
        <f>IF('استقطاب المواهب'!B8="","",'استقطاب المواهب'!B8)</f>
        <v>عبدالله العنزي</v>
      </c>
      <c r="C32" s="68" t="str">
        <f>IF('استقطاب المواهب'!B8="","","استقطاب المواهب")</f>
        <v>استقطاب المواهب</v>
      </c>
      <c r="D32" s="64">
        <f>IF('استقطاب المواهب'!B8="","",'استقطاب المواهب'!O8)</f>
        <v>99.5</v>
      </c>
      <c r="E32" s="69" t="str">
        <f t="shared" si="0"/>
        <v>أداء متميز</v>
      </c>
      <c r="F32" s="70">
        <f>IF(D32="","",RANK(D32,$D$3:$D$152)+COUNTIF($D$3:D32,D32)-1)</f>
        <v>3</v>
      </c>
      <c r="G32" s="71">
        <f t="shared" si="1"/>
        <v>99.500320000000002</v>
      </c>
    </row>
    <row r="33" spans="1:7" x14ac:dyDescent="0.45">
      <c r="A33" s="60">
        <f>IF(B33="","",COUNTA($B$3:B33))</f>
        <v>31</v>
      </c>
      <c r="B33" s="24" t="str">
        <f>IF('استقطاب المواهب'!B9="","",'استقطاب المواهب'!B9)</f>
        <v>ريان الرشيدي</v>
      </c>
      <c r="C33" s="63" t="str">
        <f>IF('استقطاب المواهب'!B9="","","استقطاب المواهب")</f>
        <v>استقطاب المواهب</v>
      </c>
      <c r="D33" s="64">
        <f>IF('استقطاب المواهب'!B9="","",'استقطاب المواهب'!O9)</f>
        <v>81.900000000000006</v>
      </c>
      <c r="E33" s="65" t="str">
        <f t="shared" si="0"/>
        <v>يفوق التوقعات</v>
      </c>
      <c r="F33" s="66">
        <f>IF(D33="","",RANK(D33,$D$3:$D$152)+COUNTIF($D$3:D33,D33)-1)</f>
        <v>46</v>
      </c>
      <c r="G33" s="67">
        <f t="shared" si="1"/>
        <v>81.900330000000011</v>
      </c>
    </row>
    <row r="34" spans="1:7" x14ac:dyDescent="0.45">
      <c r="A34" s="55">
        <f>IF(B34="","",COUNTA($B$3:B34))</f>
        <v>32</v>
      </c>
      <c r="B34" s="17" t="str">
        <f>IF('استقطاب المواهب'!B10="","",'استقطاب المواهب'!B10)</f>
        <v>نواف الحربي</v>
      </c>
      <c r="C34" s="68" t="str">
        <f>IF('استقطاب المواهب'!B10="","","استقطاب المواهب")</f>
        <v>استقطاب المواهب</v>
      </c>
      <c r="D34" s="64">
        <f>IF('استقطاب المواهب'!B10="","",'استقطاب المواهب'!O10)</f>
        <v>70.2</v>
      </c>
      <c r="E34" s="69" t="str">
        <f t="shared" si="0"/>
        <v>يلبّي التوقعات</v>
      </c>
      <c r="F34" s="70">
        <f>IF(D34="","",RANK(D34,$D$3:$D$152)+COUNTIF($D$3:D34,D34)-1)</f>
        <v>79</v>
      </c>
      <c r="G34" s="71">
        <f t="shared" si="1"/>
        <v>70.200339999999997</v>
      </c>
    </row>
    <row r="35" spans="1:7" x14ac:dyDescent="0.45">
      <c r="A35" s="60">
        <f>IF(B35="","",COUNTA($B$3:B35))</f>
        <v>33</v>
      </c>
      <c r="B35" s="24" t="str">
        <f>IF('استقطاب المواهب'!B11="","",'استقطاب المواهب'!B11)</f>
        <v>ريم الشمري</v>
      </c>
      <c r="C35" s="63" t="str">
        <f>IF('استقطاب المواهب'!B11="","","استقطاب المواهب")</f>
        <v>استقطاب المواهب</v>
      </c>
      <c r="D35" s="64">
        <f>IF('استقطاب المواهب'!B11="","",'استقطاب المواهب'!O11)</f>
        <v>97.8</v>
      </c>
      <c r="E35" s="65" t="str">
        <f t="shared" ref="E35:E66" si="2">IF(D35="","",IF(D35&gt;=90,"أداء متميز",IF(D35&gt;=75,"يفوق التوقعات",IF(D35&gt;=60,"يلبّي التوقعات",IF(D35&gt;=45,"يحتاج تطوير","غير مُرضٍ")))))</f>
        <v>أداء متميز</v>
      </c>
      <c r="F35" s="66">
        <f>IF(D35="","",RANK(D35,$D$3:$D$152)+COUNTIF($D$3:D35,D35)-1)</f>
        <v>9</v>
      </c>
      <c r="G35" s="67">
        <f t="shared" ref="G35:G66" si="3">IF(D35="","",D35+ROW()/100000)</f>
        <v>97.800349999999995</v>
      </c>
    </row>
    <row r="36" spans="1:7" x14ac:dyDescent="0.45">
      <c r="A36" s="55">
        <f>IF(B36="","",COUNTA($B$3:B36))</f>
        <v>34</v>
      </c>
      <c r="B36" s="17" t="str">
        <f>IF('استقطاب المواهب'!B12="","",'استقطاب المواهب'!B12)</f>
        <v>بندر الرشيدي</v>
      </c>
      <c r="C36" s="68" t="str">
        <f>IF('استقطاب المواهب'!B12="","","استقطاب المواهب")</f>
        <v>استقطاب المواهب</v>
      </c>
      <c r="D36" s="64">
        <f>IF('استقطاب المواهب'!B12="","",'استقطاب المواهب'!O12)</f>
        <v>43.1</v>
      </c>
      <c r="E36" s="69" t="str">
        <f t="shared" si="2"/>
        <v>غير مُرضٍ</v>
      </c>
      <c r="F36" s="70">
        <f>IF(D36="","",RANK(D36,$D$3:$D$152)+COUNTIF($D$3:D36,D36)-1)</f>
        <v>104</v>
      </c>
      <c r="G36" s="71">
        <f t="shared" si="3"/>
        <v>43.100360000000002</v>
      </c>
    </row>
    <row r="37" spans="1:7" x14ac:dyDescent="0.45">
      <c r="A37" s="60">
        <f>IF(B37="","",COUNTA($B$3:B37))</f>
        <v>35</v>
      </c>
      <c r="B37" s="24" t="str">
        <f>IF('استقطاب المواهب'!B13="","",'استقطاب المواهب'!B13)</f>
        <v>لطيفة الرشيدي</v>
      </c>
      <c r="C37" s="63" t="str">
        <f>IF('استقطاب المواهب'!B13="","","استقطاب المواهب")</f>
        <v>استقطاب المواهب</v>
      </c>
      <c r="D37" s="64">
        <f>IF('استقطاب المواهب'!B13="","",'استقطاب المواهب'!O13)</f>
        <v>85.9</v>
      </c>
      <c r="E37" s="65" t="str">
        <f t="shared" si="2"/>
        <v>يفوق التوقعات</v>
      </c>
      <c r="F37" s="66">
        <f>IF(D37="","",RANK(D37,$D$3:$D$152)+COUNTIF($D$3:D37,D37)-1)</f>
        <v>38</v>
      </c>
      <c r="G37" s="67">
        <f t="shared" si="3"/>
        <v>85.900370000000009</v>
      </c>
    </row>
    <row r="38" spans="1:7" x14ac:dyDescent="0.45">
      <c r="A38" s="55">
        <f>IF(B38="","",COUNTA($B$3:B38))</f>
        <v>36</v>
      </c>
      <c r="B38" s="17" t="str">
        <f>IF('استقطاب المواهب'!B14="","",'استقطاب المواهب'!B14)</f>
        <v>أسماء الرشيدي</v>
      </c>
      <c r="C38" s="68" t="str">
        <f>IF('استقطاب المواهب'!B14="","","استقطاب المواهب")</f>
        <v>استقطاب المواهب</v>
      </c>
      <c r="D38" s="64">
        <f>IF('استقطاب المواهب'!B14="","",'استقطاب المواهب'!O14)</f>
        <v>69.3</v>
      </c>
      <c r="E38" s="69" t="str">
        <f t="shared" si="2"/>
        <v>يلبّي التوقعات</v>
      </c>
      <c r="F38" s="70">
        <f>IF(D38="","",RANK(D38,$D$3:$D$152)+COUNTIF($D$3:D38,D38)-1)</f>
        <v>81</v>
      </c>
      <c r="G38" s="71">
        <f t="shared" si="3"/>
        <v>69.300380000000004</v>
      </c>
    </row>
    <row r="39" spans="1:7" x14ac:dyDescent="0.45">
      <c r="A39" s="60">
        <f>IF(B39="","",COUNTA($B$3:B39))</f>
        <v>37</v>
      </c>
      <c r="B39" s="24" t="str">
        <f>IF('استقطاب المواهب'!B15="","",'استقطاب المواهب'!B15)</f>
        <v>سلطان الحربي</v>
      </c>
      <c r="C39" s="63" t="str">
        <f>IF('استقطاب المواهب'!B15="","","استقطاب المواهب")</f>
        <v>استقطاب المواهب</v>
      </c>
      <c r="D39" s="64">
        <f>IF('استقطاب المواهب'!B15="","",'استقطاب المواهب'!O15)</f>
        <v>82.9</v>
      </c>
      <c r="E39" s="65" t="str">
        <f t="shared" si="2"/>
        <v>يفوق التوقعات</v>
      </c>
      <c r="F39" s="66">
        <f>IF(D39="","",RANK(D39,$D$3:$D$152)+COUNTIF($D$3:D39,D39)-1)</f>
        <v>43</v>
      </c>
      <c r="G39" s="67">
        <f t="shared" si="3"/>
        <v>82.900390000000002</v>
      </c>
    </row>
    <row r="40" spans="1:7" x14ac:dyDescent="0.45">
      <c r="A40" s="55">
        <f>IF(B40="","",COUNTA($B$3:B40))</f>
        <v>38</v>
      </c>
      <c r="B40" s="17" t="str">
        <f>IF('استقطاب المواهب'!B16="","",'استقطاب المواهب'!B16)</f>
        <v>شهد الدوسري</v>
      </c>
      <c r="C40" s="68" t="str">
        <f>IF('استقطاب المواهب'!B16="","","استقطاب المواهب")</f>
        <v>استقطاب المواهب</v>
      </c>
      <c r="D40" s="64">
        <f>IF('استقطاب المواهب'!B16="","",'استقطاب المواهب'!O16)</f>
        <v>58.8</v>
      </c>
      <c r="E40" s="69" t="str">
        <f t="shared" si="2"/>
        <v>يحتاج تطوير</v>
      </c>
      <c r="F40" s="70">
        <f>IF(D40="","",RANK(D40,$D$3:$D$152)+COUNTIF($D$3:D40,D40)-1)</f>
        <v>94</v>
      </c>
      <c r="G40" s="71">
        <f t="shared" si="3"/>
        <v>58.800399999999996</v>
      </c>
    </row>
    <row r="41" spans="1:7" x14ac:dyDescent="0.45">
      <c r="A41" s="60">
        <f>IF(B41="","",COUNTA($B$3:B41))</f>
        <v>39</v>
      </c>
      <c r="B41" s="24" t="str">
        <f>IF('استقطاب المواهب'!B17="","",'استقطاب المواهب'!B17)</f>
        <v>سعود الشهراني</v>
      </c>
      <c r="C41" s="63" t="str">
        <f>IF('استقطاب المواهب'!B17="","","استقطاب المواهب")</f>
        <v>استقطاب المواهب</v>
      </c>
      <c r="D41" s="64">
        <f>IF('استقطاب المواهب'!B17="","",'استقطاب المواهب'!O17)</f>
        <v>99.8</v>
      </c>
      <c r="E41" s="65" t="str">
        <f t="shared" si="2"/>
        <v>أداء متميز</v>
      </c>
      <c r="F41" s="66">
        <f>IF(D41="","",RANK(D41,$D$3:$D$152)+COUNTIF($D$3:D41,D41)-1)</f>
        <v>2</v>
      </c>
      <c r="G41" s="67">
        <f t="shared" si="3"/>
        <v>99.800409999999999</v>
      </c>
    </row>
    <row r="42" spans="1:7" x14ac:dyDescent="0.45">
      <c r="A42" s="55">
        <f>IF(B42="","",COUNTA($B$3:B42))</f>
        <v>40</v>
      </c>
      <c r="B42" s="17" t="str">
        <f>IF('استقطاب المواهب'!B18="","",'استقطاب المواهب'!B18)</f>
        <v>شهد الجهني</v>
      </c>
      <c r="C42" s="68" t="str">
        <f>IF('استقطاب المواهب'!B18="","","استقطاب المواهب")</f>
        <v>استقطاب المواهب</v>
      </c>
      <c r="D42" s="64">
        <f>IF('استقطاب المواهب'!B18="","",'استقطاب المواهب'!O18)</f>
        <v>92</v>
      </c>
      <c r="E42" s="69" t="str">
        <f t="shared" si="2"/>
        <v>أداء متميز</v>
      </c>
      <c r="F42" s="70">
        <f>IF(D42="","",RANK(D42,$D$3:$D$152)+COUNTIF($D$3:D42,D42)-1)</f>
        <v>21</v>
      </c>
      <c r="G42" s="71">
        <f t="shared" si="3"/>
        <v>92.000420000000005</v>
      </c>
    </row>
    <row r="43" spans="1:7" x14ac:dyDescent="0.45">
      <c r="A43" s="60">
        <f>IF(B43="","",COUNTA($B$3:B43))</f>
        <v>41</v>
      </c>
      <c r="B43" s="24" t="str">
        <f>IF('استقطاب المواهب'!B19="","",'استقطاب المواهب'!B19)</f>
        <v>ماجد المطيري</v>
      </c>
      <c r="C43" s="63" t="str">
        <f>IF('استقطاب المواهب'!B19="","","استقطاب المواهب")</f>
        <v>استقطاب المواهب</v>
      </c>
      <c r="D43" s="64">
        <f>IF('استقطاب المواهب'!B19="","",'استقطاب المواهب'!O19)</f>
        <v>98.2</v>
      </c>
      <c r="E43" s="65" t="str">
        <f t="shared" si="2"/>
        <v>أداء متميز</v>
      </c>
      <c r="F43" s="66">
        <f>IF(D43="","",RANK(D43,$D$3:$D$152)+COUNTIF($D$3:D43,D43)-1)</f>
        <v>7</v>
      </c>
      <c r="G43" s="67">
        <f t="shared" si="3"/>
        <v>98.200429999999997</v>
      </c>
    </row>
    <row r="44" spans="1:7" x14ac:dyDescent="0.45">
      <c r="A44" s="55">
        <f>IF(B44="","",COUNTA($B$3:B44))</f>
        <v>42</v>
      </c>
      <c r="B44" s="17" t="str">
        <f>IF('استقطاب المواهب'!B20="","",'استقطاب المواهب'!B20)</f>
        <v>سلطان السبيعي</v>
      </c>
      <c r="C44" s="68" t="str">
        <f>IF('استقطاب المواهب'!B20="","","استقطاب المواهب")</f>
        <v>استقطاب المواهب</v>
      </c>
      <c r="D44" s="64">
        <f>IF('استقطاب المواهب'!B20="","",'استقطاب المواهب'!O20)</f>
        <v>72.7</v>
      </c>
      <c r="E44" s="69" t="str">
        <f t="shared" si="2"/>
        <v>يلبّي التوقعات</v>
      </c>
      <c r="F44" s="70">
        <f>IF(D44="","",RANK(D44,$D$3:$D$152)+COUNTIF($D$3:D44,D44)-1)</f>
        <v>70</v>
      </c>
      <c r="G44" s="71">
        <f t="shared" si="3"/>
        <v>72.70044</v>
      </c>
    </row>
    <row r="45" spans="1:7" x14ac:dyDescent="0.45">
      <c r="A45" s="60">
        <f>IF(B45="","",COUNTA($B$3:B45))</f>
        <v>43</v>
      </c>
      <c r="B45" s="24" t="str">
        <f>IF('استقطاب المواهب'!B21="","",'استقطاب المواهب'!B21)</f>
        <v>ناصر الحربي</v>
      </c>
      <c r="C45" s="63" t="str">
        <f>IF('استقطاب المواهب'!B21="","","استقطاب المواهب")</f>
        <v>استقطاب المواهب</v>
      </c>
      <c r="D45" s="64">
        <f>IF('استقطاب المواهب'!B21="","",'استقطاب المواهب'!O21)</f>
        <v>40.5</v>
      </c>
      <c r="E45" s="65" t="str">
        <f t="shared" si="2"/>
        <v>غير مُرضٍ</v>
      </c>
      <c r="F45" s="66">
        <f>IF(D45="","",RANK(D45,$D$3:$D$152)+COUNTIF($D$3:D45,D45)-1)</f>
        <v>105</v>
      </c>
      <c r="G45" s="67">
        <f t="shared" si="3"/>
        <v>40.500450000000001</v>
      </c>
    </row>
    <row r="46" spans="1:7" x14ac:dyDescent="0.45">
      <c r="A46" s="55" t="str">
        <f>IF(B46="","",COUNTA($B$3:B46))</f>
        <v/>
      </c>
      <c r="B46" s="17" t="str">
        <f>IF('استقطاب المواهب'!B22="","",'استقطاب المواهب'!B22)</f>
        <v/>
      </c>
      <c r="C46" s="68" t="str">
        <f>IF('استقطاب المواهب'!B22="","","استقطاب المواهب")</f>
        <v/>
      </c>
      <c r="D46" s="64" t="str">
        <f>IF('استقطاب المواهب'!B22="","",'استقطاب المواهب'!O22)</f>
        <v/>
      </c>
      <c r="E46" s="69" t="str">
        <f t="shared" si="2"/>
        <v/>
      </c>
      <c r="F46" s="70" t="str">
        <f>IF(D46="","",RANK(D46,$D$3:$D$152)+COUNTIF($D$3:D46,D46)-1)</f>
        <v/>
      </c>
      <c r="G46" s="71" t="str">
        <f t="shared" si="3"/>
        <v/>
      </c>
    </row>
    <row r="47" spans="1:7" x14ac:dyDescent="0.45">
      <c r="A47" s="60" t="str">
        <f>IF(B47="","",COUNTA($B$3:B47))</f>
        <v/>
      </c>
      <c r="B47" s="24" t="str">
        <f>IF('استقطاب المواهب'!B23="","",'استقطاب المواهب'!B23)</f>
        <v/>
      </c>
      <c r="C47" s="63" t="str">
        <f>IF('استقطاب المواهب'!B23="","","استقطاب المواهب")</f>
        <v/>
      </c>
      <c r="D47" s="64" t="str">
        <f>IF('استقطاب المواهب'!B23="","",'استقطاب المواهب'!O23)</f>
        <v/>
      </c>
      <c r="E47" s="65" t="str">
        <f t="shared" si="2"/>
        <v/>
      </c>
      <c r="F47" s="66" t="str">
        <f>IF(D47="","",RANK(D47,$D$3:$D$152)+COUNTIF($D$3:D47,D47)-1)</f>
        <v/>
      </c>
      <c r="G47" s="67" t="str">
        <f t="shared" si="3"/>
        <v/>
      </c>
    </row>
    <row r="48" spans="1:7" x14ac:dyDescent="0.45">
      <c r="A48" s="55" t="str">
        <f>IF(B48="","",COUNTA($B$3:B48))</f>
        <v/>
      </c>
      <c r="B48" s="17" t="str">
        <f>IF('استقطاب المواهب'!B24="","",'استقطاب المواهب'!B24)</f>
        <v/>
      </c>
      <c r="C48" s="68" t="str">
        <f>IF('استقطاب المواهب'!B24="","","استقطاب المواهب")</f>
        <v/>
      </c>
      <c r="D48" s="64" t="str">
        <f>IF('استقطاب المواهب'!B24="","",'استقطاب المواهب'!O24)</f>
        <v/>
      </c>
      <c r="E48" s="69" t="str">
        <f t="shared" si="2"/>
        <v/>
      </c>
      <c r="F48" s="70" t="str">
        <f>IF(D48="","",RANK(D48,$D$3:$D$152)+COUNTIF($D$3:D48,D48)-1)</f>
        <v/>
      </c>
      <c r="G48" s="71" t="str">
        <f t="shared" si="3"/>
        <v/>
      </c>
    </row>
    <row r="49" spans="1:7" x14ac:dyDescent="0.45">
      <c r="A49" s="60" t="str">
        <f>IF(B49="","",COUNTA($B$3:B49))</f>
        <v/>
      </c>
      <c r="B49" s="24" t="str">
        <f>IF('استقطاب المواهب'!B25="","",'استقطاب المواهب'!B25)</f>
        <v/>
      </c>
      <c r="C49" s="63" t="str">
        <f>IF('استقطاب المواهب'!B25="","","استقطاب المواهب")</f>
        <v/>
      </c>
      <c r="D49" s="64" t="str">
        <f>IF('استقطاب المواهب'!B25="","",'استقطاب المواهب'!O25)</f>
        <v/>
      </c>
      <c r="E49" s="65" t="str">
        <f t="shared" si="2"/>
        <v/>
      </c>
      <c r="F49" s="66" t="str">
        <f>IF(D49="","",RANK(D49,$D$3:$D$152)+COUNTIF($D$3:D49,D49)-1)</f>
        <v/>
      </c>
      <c r="G49" s="67" t="str">
        <f t="shared" si="3"/>
        <v/>
      </c>
    </row>
    <row r="50" spans="1:7" x14ac:dyDescent="0.45">
      <c r="A50" s="55" t="str">
        <f>IF(B50="","",COUNTA($B$3:B50))</f>
        <v/>
      </c>
      <c r="B50" s="17" t="str">
        <f>IF('استقطاب المواهب'!B26="","",'استقطاب المواهب'!B26)</f>
        <v/>
      </c>
      <c r="C50" s="68" t="str">
        <f>IF('استقطاب المواهب'!B26="","","استقطاب المواهب")</f>
        <v/>
      </c>
      <c r="D50" s="64" t="str">
        <f>IF('استقطاب المواهب'!B26="","",'استقطاب المواهب'!O26)</f>
        <v/>
      </c>
      <c r="E50" s="69" t="str">
        <f t="shared" si="2"/>
        <v/>
      </c>
      <c r="F50" s="70" t="str">
        <f>IF(D50="","",RANK(D50,$D$3:$D$152)+COUNTIF($D$3:D50,D50)-1)</f>
        <v/>
      </c>
      <c r="G50" s="71" t="str">
        <f t="shared" si="3"/>
        <v/>
      </c>
    </row>
    <row r="51" spans="1:7" x14ac:dyDescent="0.45">
      <c r="A51" s="60" t="str">
        <f>IF(B51="","",COUNTA($B$3:B51))</f>
        <v/>
      </c>
      <c r="B51" s="24" t="str">
        <f>IF('استقطاب المواهب'!B27="","",'استقطاب المواهب'!B27)</f>
        <v/>
      </c>
      <c r="C51" s="63" t="str">
        <f>IF('استقطاب المواهب'!B27="","","استقطاب المواهب")</f>
        <v/>
      </c>
      <c r="D51" s="64" t="str">
        <f>IF('استقطاب المواهب'!B27="","",'استقطاب المواهب'!O27)</f>
        <v/>
      </c>
      <c r="E51" s="65" t="str">
        <f t="shared" si="2"/>
        <v/>
      </c>
      <c r="F51" s="66" t="str">
        <f>IF(D51="","",RANK(D51,$D$3:$D$152)+COUNTIF($D$3:D51,D51)-1)</f>
        <v/>
      </c>
      <c r="G51" s="67" t="str">
        <f t="shared" si="3"/>
        <v/>
      </c>
    </row>
    <row r="52" spans="1:7" x14ac:dyDescent="0.45">
      <c r="A52" s="55" t="str">
        <f>IF(B52="","",COUNTA($B$3:B52))</f>
        <v/>
      </c>
      <c r="B52" s="17" t="str">
        <f>IF('استقطاب المواهب'!B28="","",'استقطاب المواهب'!B28)</f>
        <v/>
      </c>
      <c r="C52" s="68" t="str">
        <f>IF('استقطاب المواهب'!B28="","","استقطاب المواهب")</f>
        <v/>
      </c>
      <c r="D52" s="64" t="str">
        <f>IF('استقطاب المواهب'!B28="","",'استقطاب المواهب'!O28)</f>
        <v/>
      </c>
      <c r="E52" s="69" t="str">
        <f t="shared" si="2"/>
        <v/>
      </c>
      <c r="F52" s="70" t="str">
        <f>IF(D52="","",RANK(D52,$D$3:$D$152)+COUNTIF($D$3:D52,D52)-1)</f>
        <v/>
      </c>
      <c r="G52" s="71" t="str">
        <f t="shared" si="3"/>
        <v/>
      </c>
    </row>
    <row r="53" spans="1:7" x14ac:dyDescent="0.45">
      <c r="A53" s="60">
        <f>IF(B53="","",COUNTA($B$3:B53))</f>
        <v>51</v>
      </c>
      <c r="B53" s="24" t="str">
        <f>IF('التعلم والتطوير'!B4="","",'التعلم والتطوير'!B4)</f>
        <v>ناصر الدوسري</v>
      </c>
      <c r="C53" s="63" t="str">
        <f>IF('التعلم والتطوير'!B4="","","التعلم والتطوير")</f>
        <v>التعلم والتطوير</v>
      </c>
      <c r="D53" s="64">
        <f>IF('التعلم والتطوير'!B4="","",'التعلم والتطوير'!O4)</f>
        <v>75.2</v>
      </c>
      <c r="E53" s="65" t="str">
        <f t="shared" si="2"/>
        <v>يفوق التوقعات</v>
      </c>
      <c r="F53" s="66">
        <f>IF(D53="","",RANK(D53,$D$3:$D$152)+COUNTIF($D$3:D53,D53)-1)</f>
        <v>66</v>
      </c>
      <c r="G53" s="67">
        <f t="shared" si="3"/>
        <v>75.200530000000001</v>
      </c>
    </row>
    <row r="54" spans="1:7" x14ac:dyDescent="0.45">
      <c r="A54" s="55">
        <f>IF(B54="","",COUNTA($B$3:B54))</f>
        <v>52</v>
      </c>
      <c r="B54" s="17" t="str">
        <f>IF('التعلم والتطوير'!B5="","",'التعلم والتطوير'!B5)</f>
        <v>سعد المطيري</v>
      </c>
      <c r="C54" s="68" t="str">
        <f>IF('التعلم والتطوير'!B5="","","التعلم والتطوير")</f>
        <v>التعلم والتطوير</v>
      </c>
      <c r="D54" s="64">
        <f>IF('التعلم والتطوير'!B5="","",'التعلم والتطوير'!O5)</f>
        <v>80.3</v>
      </c>
      <c r="E54" s="69" t="str">
        <f t="shared" si="2"/>
        <v>يفوق التوقعات</v>
      </c>
      <c r="F54" s="70">
        <f>IF(D54="","",RANK(D54,$D$3:$D$152)+COUNTIF($D$3:D54,D54)-1)</f>
        <v>49</v>
      </c>
      <c r="G54" s="71">
        <f t="shared" si="3"/>
        <v>80.300539999999998</v>
      </c>
    </row>
    <row r="55" spans="1:7" x14ac:dyDescent="0.45">
      <c r="A55" s="60">
        <f>IF(B55="","",COUNTA($B$3:B55))</f>
        <v>53</v>
      </c>
      <c r="B55" s="24" t="str">
        <f>IF('التعلم والتطوير'!B6="","",'التعلم والتطوير'!B6)</f>
        <v>سعود الشهري</v>
      </c>
      <c r="C55" s="63" t="str">
        <f>IF('التعلم والتطوير'!B6="","","التعلم والتطوير")</f>
        <v>التعلم والتطوير</v>
      </c>
      <c r="D55" s="64">
        <f>IF('التعلم والتطوير'!B6="","",'التعلم والتطوير'!O6)</f>
        <v>77.5</v>
      </c>
      <c r="E55" s="65" t="str">
        <f t="shared" si="2"/>
        <v>يفوق التوقعات</v>
      </c>
      <c r="F55" s="66">
        <f>IF(D55="","",RANK(D55,$D$3:$D$152)+COUNTIF($D$3:D55,D55)-1)</f>
        <v>58</v>
      </c>
      <c r="G55" s="67">
        <f t="shared" si="3"/>
        <v>77.500550000000004</v>
      </c>
    </row>
    <row r="56" spans="1:7" x14ac:dyDescent="0.45">
      <c r="A56" s="55">
        <f>IF(B56="","",COUNTA($B$3:B56))</f>
        <v>54</v>
      </c>
      <c r="B56" s="17" t="str">
        <f>IF('التعلم والتطوير'!B7="","",'التعلم والتطوير'!B7)</f>
        <v>ماجد الشهراني</v>
      </c>
      <c r="C56" s="68" t="str">
        <f>IF('التعلم والتطوير'!B7="","","التعلم والتطوير")</f>
        <v>التعلم والتطوير</v>
      </c>
      <c r="D56" s="64">
        <f>IF('التعلم والتطوير'!B7="","",'التعلم والتطوير'!O7)</f>
        <v>67</v>
      </c>
      <c r="E56" s="69" t="str">
        <f t="shared" si="2"/>
        <v>يلبّي التوقعات</v>
      </c>
      <c r="F56" s="70">
        <f>IF(D56="","",RANK(D56,$D$3:$D$152)+COUNTIF($D$3:D56,D56)-1)</f>
        <v>86</v>
      </c>
      <c r="G56" s="71">
        <f t="shared" si="3"/>
        <v>67.000559999999993</v>
      </c>
    </row>
    <row r="57" spans="1:7" x14ac:dyDescent="0.45">
      <c r="A57" s="60">
        <f>IF(B57="","",COUNTA($B$3:B57))</f>
        <v>55</v>
      </c>
      <c r="B57" s="24" t="str">
        <f>IF('التعلم والتطوير'!B8="","",'التعلم والتطوير'!B8)</f>
        <v>عبدالعزيز الشهري</v>
      </c>
      <c r="C57" s="63" t="str">
        <f>IF('التعلم والتطوير'!B8="","","التعلم والتطوير")</f>
        <v>التعلم والتطوير</v>
      </c>
      <c r="D57" s="64">
        <f>IF('التعلم والتطوير'!B8="","",'التعلم والتطوير'!O8)</f>
        <v>69.400000000000006</v>
      </c>
      <c r="E57" s="65" t="str">
        <f t="shared" si="2"/>
        <v>يلبّي التوقعات</v>
      </c>
      <c r="F57" s="66">
        <f>IF(D57="","",RANK(D57,$D$3:$D$152)+COUNTIF($D$3:D57,D57)-1)</f>
        <v>80</v>
      </c>
      <c r="G57" s="67">
        <f t="shared" si="3"/>
        <v>69.400570000000002</v>
      </c>
    </row>
    <row r="58" spans="1:7" x14ac:dyDescent="0.45">
      <c r="A58" s="55">
        <f>IF(B58="","",COUNTA($B$3:B58))</f>
        <v>56</v>
      </c>
      <c r="B58" s="17" t="str">
        <f>IF('التعلم والتطوير'!B9="","",'التعلم والتطوير'!B9)</f>
        <v>غادة الحربي</v>
      </c>
      <c r="C58" s="68" t="str">
        <f>IF('التعلم والتطوير'!B9="","","التعلم والتطوير")</f>
        <v>التعلم والتطوير</v>
      </c>
      <c r="D58" s="64">
        <f>IF('التعلم والتطوير'!B9="","",'التعلم والتطوير'!O9)</f>
        <v>46.2</v>
      </c>
      <c r="E58" s="69" t="str">
        <f t="shared" si="2"/>
        <v>يحتاج تطوير</v>
      </c>
      <c r="F58" s="70">
        <f>IF(D58="","",RANK(D58,$D$3:$D$152)+COUNTIF($D$3:D58,D58)-1)</f>
        <v>103</v>
      </c>
      <c r="G58" s="71">
        <f t="shared" si="3"/>
        <v>46.200580000000002</v>
      </c>
    </row>
    <row r="59" spans="1:7" x14ac:dyDescent="0.45">
      <c r="A59" s="60">
        <f>IF(B59="","",COUNTA($B$3:B59))</f>
        <v>57</v>
      </c>
      <c r="B59" s="24" t="str">
        <f>IF('التعلم والتطوير'!B10="","",'التعلم والتطوير'!B10)</f>
        <v>عبدالرحمن الشهراني</v>
      </c>
      <c r="C59" s="63" t="str">
        <f>IF('التعلم والتطوير'!B10="","","التعلم والتطوير")</f>
        <v>التعلم والتطوير</v>
      </c>
      <c r="D59" s="64">
        <f>IF('التعلم والتطوير'!B10="","",'التعلم والتطوير'!O10)</f>
        <v>97.8</v>
      </c>
      <c r="E59" s="65" t="str">
        <f t="shared" si="2"/>
        <v>أداء متميز</v>
      </c>
      <c r="F59" s="66">
        <f>IF(D59="","",RANK(D59,$D$3:$D$152)+COUNTIF($D$3:D59,D59)-1)</f>
        <v>10</v>
      </c>
      <c r="G59" s="67">
        <f t="shared" si="3"/>
        <v>97.80059</v>
      </c>
    </row>
    <row r="60" spans="1:7" x14ac:dyDescent="0.45">
      <c r="A60" s="55">
        <f>IF(B60="","",COUNTA($B$3:B60))</f>
        <v>58</v>
      </c>
      <c r="B60" s="17" t="str">
        <f>IF('التعلم والتطوير'!B11="","",'التعلم والتطوير'!B11)</f>
        <v>غادة البقمي</v>
      </c>
      <c r="C60" s="68" t="str">
        <f>IF('التعلم والتطوير'!B11="","","التعلم والتطوير")</f>
        <v>التعلم والتطوير</v>
      </c>
      <c r="D60" s="64">
        <f>IF('التعلم والتطوير'!B11="","",'التعلم والتطوير'!O11)</f>
        <v>82.8</v>
      </c>
      <c r="E60" s="69" t="str">
        <f t="shared" si="2"/>
        <v>يفوق التوقعات</v>
      </c>
      <c r="F60" s="70">
        <f>IF(D60="","",RANK(D60,$D$3:$D$152)+COUNTIF($D$3:D60,D60)-1)</f>
        <v>44</v>
      </c>
      <c r="G60" s="71">
        <f t="shared" si="3"/>
        <v>82.800600000000003</v>
      </c>
    </row>
    <row r="61" spans="1:7" x14ac:dyDescent="0.45">
      <c r="A61" s="60">
        <f>IF(B61="","",COUNTA($B$3:B61))</f>
        <v>59</v>
      </c>
      <c r="B61" s="24" t="str">
        <f>IF('التعلم والتطوير'!B12="","",'التعلم والتطوير'!B12)</f>
        <v>فهد الشمري</v>
      </c>
      <c r="C61" s="63" t="str">
        <f>IF('التعلم والتطوير'!B12="","","التعلم والتطوير")</f>
        <v>التعلم والتطوير</v>
      </c>
      <c r="D61" s="64">
        <f>IF('التعلم والتطوير'!B12="","",'التعلم والتطوير'!O12)</f>
        <v>68.599999999999994</v>
      </c>
      <c r="E61" s="65" t="str">
        <f t="shared" si="2"/>
        <v>يلبّي التوقعات</v>
      </c>
      <c r="F61" s="66">
        <f>IF(D61="","",RANK(D61,$D$3:$D$152)+COUNTIF($D$3:D61,D61)-1)</f>
        <v>83</v>
      </c>
      <c r="G61" s="67">
        <f t="shared" si="3"/>
        <v>68.600609999999989</v>
      </c>
    </row>
    <row r="62" spans="1:7" x14ac:dyDescent="0.45">
      <c r="A62" s="55">
        <f>IF(B62="","",COUNTA($B$3:B62))</f>
        <v>60</v>
      </c>
      <c r="B62" s="17" t="str">
        <f>IF('التعلم والتطوير'!B13="","",'التعلم والتطوير'!B13)</f>
        <v>لمى الجهني</v>
      </c>
      <c r="C62" s="68" t="str">
        <f>IF('التعلم والتطوير'!B13="","","التعلم والتطوير")</f>
        <v>التعلم والتطوير</v>
      </c>
      <c r="D62" s="64">
        <f>IF('التعلم والتطوير'!B13="","",'التعلم والتطوير'!O13)</f>
        <v>88.1</v>
      </c>
      <c r="E62" s="69" t="str">
        <f t="shared" si="2"/>
        <v>يفوق التوقعات</v>
      </c>
      <c r="F62" s="70">
        <f>IF(D62="","",RANK(D62,$D$3:$D$152)+COUNTIF($D$3:D62,D62)-1)</f>
        <v>32</v>
      </c>
      <c r="G62" s="71">
        <f t="shared" si="3"/>
        <v>88.100619999999992</v>
      </c>
    </row>
    <row r="63" spans="1:7" x14ac:dyDescent="0.45">
      <c r="A63" s="60">
        <f>IF(B63="","",COUNTA($B$3:B63))</f>
        <v>61</v>
      </c>
      <c r="B63" s="24" t="str">
        <f>IF('التعلم والتطوير'!B14="","",'التعلم والتطوير'!B14)</f>
        <v>سارة الحارثي</v>
      </c>
      <c r="C63" s="63" t="str">
        <f>IF('التعلم والتطوير'!B14="","","التعلم والتطوير")</f>
        <v>التعلم والتطوير</v>
      </c>
      <c r="D63" s="64">
        <f>IF('التعلم والتطوير'!B14="","",'التعلم والتطوير'!O14)</f>
        <v>67.7</v>
      </c>
      <c r="E63" s="65" t="str">
        <f t="shared" si="2"/>
        <v>يلبّي التوقعات</v>
      </c>
      <c r="F63" s="66">
        <f>IF(D63="","",RANK(D63,$D$3:$D$152)+COUNTIF($D$3:D63,D63)-1)</f>
        <v>85</v>
      </c>
      <c r="G63" s="67">
        <f t="shared" si="3"/>
        <v>67.700630000000004</v>
      </c>
    </row>
    <row r="64" spans="1:7" x14ac:dyDescent="0.45">
      <c r="A64" s="55">
        <f>IF(B64="","",COUNTA($B$3:B64))</f>
        <v>62</v>
      </c>
      <c r="B64" s="17" t="str">
        <f>IF('التعلم والتطوير'!B15="","",'التعلم والتطوير'!B15)</f>
        <v>نواف العنزي</v>
      </c>
      <c r="C64" s="68" t="str">
        <f>IF('التعلم والتطوير'!B15="","","التعلم والتطوير")</f>
        <v>التعلم والتطوير</v>
      </c>
      <c r="D64" s="64">
        <f>IF('التعلم والتطوير'!B15="","",'التعلم والتطوير'!O15)</f>
        <v>85.1</v>
      </c>
      <c r="E64" s="69" t="str">
        <f t="shared" si="2"/>
        <v>يفوق التوقعات</v>
      </c>
      <c r="F64" s="70">
        <f>IF(D64="","",RANK(D64,$D$3:$D$152)+COUNTIF($D$3:D64,D64)-1)</f>
        <v>39</v>
      </c>
      <c r="G64" s="71">
        <f t="shared" si="3"/>
        <v>85.100639999999999</v>
      </c>
    </row>
    <row r="65" spans="1:7" x14ac:dyDescent="0.45">
      <c r="A65" s="60">
        <f>IF(B65="","",COUNTA($B$3:B65))</f>
        <v>63</v>
      </c>
      <c r="B65" s="24" t="str">
        <f>IF('التعلم والتطوير'!B16="","",'التعلم والتطوير'!B16)</f>
        <v>جواهر الزهراني</v>
      </c>
      <c r="C65" s="63" t="str">
        <f>IF('التعلم والتطوير'!B16="","","التعلم والتطوير")</f>
        <v>التعلم والتطوير</v>
      </c>
      <c r="D65" s="64">
        <f>IF('التعلم والتطوير'!B16="","",'التعلم والتطوير'!O16)</f>
        <v>94</v>
      </c>
      <c r="E65" s="65" t="str">
        <f t="shared" si="2"/>
        <v>أداء متميز</v>
      </c>
      <c r="F65" s="66">
        <f>IF(D65="","",RANK(D65,$D$3:$D$152)+COUNTIF($D$3:D65,D65)-1)</f>
        <v>18</v>
      </c>
      <c r="G65" s="67">
        <f t="shared" si="3"/>
        <v>94.000649999999993</v>
      </c>
    </row>
    <row r="66" spans="1:7" x14ac:dyDescent="0.45">
      <c r="A66" s="55">
        <f>IF(B66="","",COUNTA($B$3:B66))</f>
        <v>64</v>
      </c>
      <c r="B66" s="17" t="str">
        <f>IF('التعلم والتطوير'!B17="","",'التعلم والتطوير'!B17)</f>
        <v>جنى المطيري</v>
      </c>
      <c r="C66" s="68" t="str">
        <f>IF('التعلم والتطوير'!B17="","","التعلم والتطوير")</f>
        <v>التعلم والتطوير</v>
      </c>
      <c r="D66" s="64">
        <f>IF('التعلم والتطوير'!B17="","",'التعلم والتطوير'!O17)</f>
        <v>97.8</v>
      </c>
      <c r="E66" s="69" t="str">
        <f t="shared" si="2"/>
        <v>أداء متميز</v>
      </c>
      <c r="F66" s="70">
        <f>IF(D66="","",RANK(D66,$D$3:$D$152)+COUNTIF($D$3:D66,D66)-1)</f>
        <v>11</v>
      </c>
      <c r="G66" s="71">
        <f t="shared" si="3"/>
        <v>97.800659999999993</v>
      </c>
    </row>
    <row r="67" spans="1:7" x14ac:dyDescent="0.45">
      <c r="A67" s="60">
        <f>IF(B67="","",COUNTA($B$3:B67))</f>
        <v>65</v>
      </c>
      <c r="B67" s="24" t="str">
        <f>IF('التعلم والتطوير'!B18="","",'التعلم والتطوير'!B18)</f>
        <v>غادة الرشيدي</v>
      </c>
      <c r="C67" s="63" t="str">
        <f>IF('التعلم والتطوير'!B18="","","التعلم والتطوير")</f>
        <v>التعلم والتطوير</v>
      </c>
      <c r="D67" s="64">
        <f>IF('التعلم والتطوير'!B18="","",'التعلم والتطوير'!O18)</f>
        <v>95</v>
      </c>
      <c r="E67" s="65" t="str">
        <f t="shared" ref="E67:E98" si="4">IF(D67="","",IF(D67&gt;=90,"أداء متميز",IF(D67&gt;=75,"يفوق التوقعات",IF(D67&gt;=60,"يلبّي التوقعات",IF(D67&gt;=45,"يحتاج تطوير","غير مُرضٍ")))))</f>
        <v>أداء متميز</v>
      </c>
      <c r="F67" s="66">
        <f>IF(D67="","",RANK(D67,$D$3:$D$152)+COUNTIF($D$3:D67,D67)-1)</f>
        <v>16</v>
      </c>
      <c r="G67" s="67">
        <f t="shared" ref="G67:G98" si="5">IF(D67="","",D67+ROW()/100000)</f>
        <v>95.00067</v>
      </c>
    </row>
    <row r="68" spans="1:7" x14ac:dyDescent="0.45">
      <c r="A68" s="55">
        <f>IF(B68="","",COUNTA($B$3:B68))</f>
        <v>66</v>
      </c>
      <c r="B68" s="17" t="str">
        <f>IF('التعلم والتطوير'!B19="","",'التعلم والتطوير'!B19)</f>
        <v>محمد الخالدي</v>
      </c>
      <c r="C68" s="68" t="str">
        <f>IF('التعلم والتطوير'!B19="","","التعلم والتطوير")</f>
        <v>التعلم والتطوير</v>
      </c>
      <c r="D68" s="64">
        <f>IF('التعلم والتطوير'!B19="","",'التعلم والتطوير'!O19)</f>
        <v>61.3</v>
      </c>
      <c r="E68" s="69" t="str">
        <f t="shared" si="4"/>
        <v>يلبّي التوقعات</v>
      </c>
      <c r="F68" s="70">
        <f>IF(D68="","",RANK(D68,$D$3:$D$152)+COUNTIF($D$3:D68,D68)-1)</f>
        <v>91</v>
      </c>
      <c r="G68" s="71">
        <f t="shared" si="5"/>
        <v>61.30068</v>
      </c>
    </row>
    <row r="69" spans="1:7" x14ac:dyDescent="0.45">
      <c r="A69" s="60">
        <f>IF(B69="","",COUNTA($B$3:B69))</f>
        <v>67</v>
      </c>
      <c r="B69" s="24" t="str">
        <f>IF('التعلم والتطوير'!B20="","",'التعلم والتطوير'!B20)</f>
        <v>لمى الشهراني</v>
      </c>
      <c r="C69" s="63" t="str">
        <f>IF('التعلم والتطوير'!B20="","","التعلم والتطوير")</f>
        <v>التعلم والتطوير</v>
      </c>
      <c r="D69" s="64">
        <f>IF('التعلم والتطوير'!B20="","",'التعلم والتطوير'!O20)</f>
        <v>56.8</v>
      </c>
      <c r="E69" s="65" t="str">
        <f t="shared" si="4"/>
        <v>يحتاج تطوير</v>
      </c>
      <c r="F69" s="66">
        <f>IF(D69="","",RANK(D69,$D$3:$D$152)+COUNTIF($D$3:D69,D69)-1)</f>
        <v>97</v>
      </c>
      <c r="G69" s="67">
        <f t="shared" si="5"/>
        <v>56.800689999999996</v>
      </c>
    </row>
    <row r="70" spans="1:7" x14ac:dyDescent="0.45">
      <c r="A70" s="55">
        <f>IF(B70="","",COUNTA($B$3:B70))</f>
        <v>68</v>
      </c>
      <c r="B70" s="17" t="str">
        <f>IF('التعلم والتطوير'!B21="","",'التعلم والتطوير'!B21)</f>
        <v>سعود الجهني</v>
      </c>
      <c r="C70" s="68" t="str">
        <f>IF('التعلم والتطوير'!B21="","","التعلم والتطوير")</f>
        <v>التعلم والتطوير</v>
      </c>
      <c r="D70" s="64">
        <f>IF('التعلم والتطوير'!B21="","",'التعلم والتطوير'!O21)</f>
        <v>53.3</v>
      </c>
      <c r="E70" s="69" t="str">
        <f t="shared" si="4"/>
        <v>يحتاج تطوير</v>
      </c>
      <c r="F70" s="70">
        <f>IF(D70="","",RANK(D70,$D$3:$D$152)+COUNTIF($D$3:D70,D70)-1)</f>
        <v>99</v>
      </c>
      <c r="G70" s="71">
        <f t="shared" si="5"/>
        <v>53.300699999999999</v>
      </c>
    </row>
    <row r="71" spans="1:7" x14ac:dyDescent="0.45">
      <c r="A71" s="60" t="str">
        <f>IF(B71="","",COUNTA($B$3:B71))</f>
        <v/>
      </c>
      <c r="B71" s="24" t="str">
        <f>IF('التعلم والتطوير'!B22="","",'التعلم والتطوير'!B22)</f>
        <v/>
      </c>
      <c r="C71" s="63" t="str">
        <f>IF('التعلم والتطوير'!B22="","","التعلم والتطوير")</f>
        <v/>
      </c>
      <c r="D71" s="64" t="str">
        <f>IF('التعلم والتطوير'!B22="","",'التعلم والتطوير'!O22)</f>
        <v/>
      </c>
      <c r="E71" s="65" t="str">
        <f t="shared" si="4"/>
        <v/>
      </c>
      <c r="F71" s="66" t="str">
        <f>IF(D71="","",RANK(D71,$D$3:$D$152)+COUNTIF($D$3:D71,D71)-1)</f>
        <v/>
      </c>
      <c r="G71" s="67" t="str">
        <f t="shared" si="5"/>
        <v/>
      </c>
    </row>
    <row r="72" spans="1:7" x14ac:dyDescent="0.45">
      <c r="A72" s="55" t="str">
        <f>IF(B72="","",COUNTA($B$3:B72))</f>
        <v/>
      </c>
      <c r="B72" s="17" t="str">
        <f>IF('التعلم والتطوير'!B23="","",'التعلم والتطوير'!B23)</f>
        <v/>
      </c>
      <c r="C72" s="68" t="str">
        <f>IF('التعلم والتطوير'!B23="","","التعلم والتطوير")</f>
        <v/>
      </c>
      <c r="D72" s="64" t="str">
        <f>IF('التعلم والتطوير'!B23="","",'التعلم والتطوير'!O23)</f>
        <v/>
      </c>
      <c r="E72" s="69" t="str">
        <f t="shared" si="4"/>
        <v/>
      </c>
      <c r="F72" s="70" t="str">
        <f>IF(D72="","",RANK(D72,$D$3:$D$152)+COUNTIF($D$3:D72,D72)-1)</f>
        <v/>
      </c>
      <c r="G72" s="71" t="str">
        <f t="shared" si="5"/>
        <v/>
      </c>
    </row>
    <row r="73" spans="1:7" x14ac:dyDescent="0.45">
      <c r="A73" s="60" t="str">
        <f>IF(B73="","",COUNTA($B$3:B73))</f>
        <v/>
      </c>
      <c r="B73" s="24" t="str">
        <f>IF('التعلم والتطوير'!B24="","",'التعلم والتطوير'!B24)</f>
        <v/>
      </c>
      <c r="C73" s="63" t="str">
        <f>IF('التعلم والتطوير'!B24="","","التعلم والتطوير")</f>
        <v/>
      </c>
      <c r="D73" s="64" t="str">
        <f>IF('التعلم والتطوير'!B24="","",'التعلم والتطوير'!O24)</f>
        <v/>
      </c>
      <c r="E73" s="65" t="str">
        <f t="shared" si="4"/>
        <v/>
      </c>
      <c r="F73" s="66" t="str">
        <f>IF(D73="","",RANK(D73,$D$3:$D$152)+COUNTIF($D$3:D73,D73)-1)</f>
        <v/>
      </c>
      <c r="G73" s="67" t="str">
        <f t="shared" si="5"/>
        <v/>
      </c>
    </row>
    <row r="74" spans="1:7" x14ac:dyDescent="0.45">
      <c r="A74" s="55" t="str">
        <f>IF(B74="","",COUNTA($B$3:B74))</f>
        <v/>
      </c>
      <c r="B74" s="17" t="str">
        <f>IF('التعلم والتطوير'!B25="","",'التعلم والتطوير'!B25)</f>
        <v/>
      </c>
      <c r="C74" s="68" t="str">
        <f>IF('التعلم والتطوير'!B25="","","التعلم والتطوير")</f>
        <v/>
      </c>
      <c r="D74" s="64" t="str">
        <f>IF('التعلم والتطوير'!B25="","",'التعلم والتطوير'!O25)</f>
        <v/>
      </c>
      <c r="E74" s="69" t="str">
        <f t="shared" si="4"/>
        <v/>
      </c>
      <c r="F74" s="70" t="str">
        <f>IF(D74="","",RANK(D74,$D$3:$D$152)+COUNTIF($D$3:D74,D74)-1)</f>
        <v/>
      </c>
      <c r="G74" s="71" t="str">
        <f t="shared" si="5"/>
        <v/>
      </c>
    </row>
    <row r="75" spans="1:7" x14ac:dyDescent="0.45">
      <c r="A75" s="60" t="str">
        <f>IF(B75="","",COUNTA($B$3:B75))</f>
        <v/>
      </c>
      <c r="B75" s="24" t="str">
        <f>IF('التعلم والتطوير'!B26="","",'التعلم والتطوير'!B26)</f>
        <v/>
      </c>
      <c r="C75" s="63" t="str">
        <f>IF('التعلم والتطوير'!B26="","","التعلم والتطوير")</f>
        <v/>
      </c>
      <c r="D75" s="64" t="str">
        <f>IF('التعلم والتطوير'!B26="","",'التعلم والتطوير'!O26)</f>
        <v/>
      </c>
      <c r="E75" s="65" t="str">
        <f t="shared" si="4"/>
        <v/>
      </c>
      <c r="F75" s="66" t="str">
        <f>IF(D75="","",RANK(D75,$D$3:$D$152)+COUNTIF($D$3:D75,D75)-1)</f>
        <v/>
      </c>
      <c r="G75" s="67" t="str">
        <f t="shared" si="5"/>
        <v/>
      </c>
    </row>
    <row r="76" spans="1:7" x14ac:dyDescent="0.45">
      <c r="A76" s="55" t="str">
        <f>IF(B76="","",COUNTA($B$3:B76))</f>
        <v/>
      </c>
      <c r="B76" s="17" t="str">
        <f>IF('التعلم والتطوير'!B27="","",'التعلم والتطوير'!B27)</f>
        <v/>
      </c>
      <c r="C76" s="68" t="str">
        <f>IF('التعلم والتطوير'!B27="","","التعلم والتطوير")</f>
        <v/>
      </c>
      <c r="D76" s="64" t="str">
        <f>IF('التعلم والتطوير'!B27="","",'التعلم والتطوير'!O27)</f>
        <v/>
      </c>
      <c r="E76" s="69" t="str">
        <f t="shared" si="4"/>
        <v/>
      </c>
      <c r="F76" s="70" t="str">
        <f>IF(D76="","",RANK(D76,$D$3:$D$152)+COUNTIF($D$3:D76,D76)-1)</f>
        <v/>
      </c>
      <c r="G76" s="71" t="str">
        <f t="shared" si="5"/>
        <v/>
      </c>
    </row>
    <row r="77" spans="1:7" x14ac:dyDescent="0.45">
      <c r="A77" s="60" t="str">
        <f>IF(B77="","",COUNTA($B$3:B77))</f>
        <v/>
      </c>
      <c r="B77" s="24" t="str">
        <f>IF('التعلم والتطوير'!B28="","",'التعلم والتطوير'!B28)</f>
        <v/>
      </c>
      <c r="C77" s="63" t="str">
        <f>IF('التعلم والتطوير'!B28="","","التعلم والتطوير")</f>
        <v/>
      </c>
      <c r="D77" s="64" t="str">
        <f>IF('التعلم والتطوير'!B28="","",'التعلم والتطوير'!O28)</f>
        <v/>
      </c>
      <c r="E77" s="65" t="str">
        <f t="shared" si="4"/>
        <v/>
      </c>
      <c r="F77" s="66" t="str">
        <f>IF(D77="","",RANK(D77,$D$3:$D$152)+COUNTIF($D$3:D77,D77)-1)</f>
        <v/>
      </c>
      <c r="G77" s="67" t="str">
        <f t="shared" si="5"/>
        <v/>
      </c>
    </row>
    <row r="78" spans="1:7" x14ac:dyDescent="0.45">
      <c r="A78" s="55">
        <f>IF(B78="","",COUNTA($B$3:B78))</f>
        <v>76</v>
      </c>
      <c r="B78" s="17" t="str">
        <f>IF('نجاح العملاء'!B4="","",'نجاح العملاء'!B4)</f>
        <v>خالد الزائدي</v>
      </c>
      <c r="C78" s="68" t="str">
        <f>IF('نجاح العملاء'!B4="","","نجاح العملاء")</f>
        <v>نجاح العملاء</v>
      </c>
      <c r="D78" s="64">
        <f>IF('نجاح العملاء'!B4="","",'نجاح العملاء'!O4)</f>
        <v>77.099999999999994</v>
      </c>
      <c r="E78" s="69" t="str">
        <f t="shared" si="4"/>
        <v>يفوق التوقعات</v>
      </c>
      <c r="F78" s="70">
        <f>IF(D78="","",RANK(D78,$D$3:$D$152)+COUNTIF($D$3:D78,D78)-1)</f>
        <v>60</v>
      </c>
      <c r="G78" s="71">
        <f t="shared" si="5"/>
        <v>77.10078</v>
      </c>
    </row>
    <row r="79" spans="1:7" x14ac:dyDescent="0.45">
      <c r="A79" s="60">
        <f>IF(B79="","",COUNTA($B$3:B79))</f>
        <v>77</v>
      </c>
      <c r="B79" s="24" t="str">
        <f>IF('نجاح العملاء'!B5="","",'نجاح العملاء'!B5)</f>
        <v>شهد العتيبي</v>
      </c>
      <c r="C79" s="63" t="str">
        <f>IF('نجاح العملاء'!B5="","","نجاح العملاء")</f>
        <v>نجاح العملاء</v>
      </c>
      <c r="D79" s="64">
        <f>IF('نجاح العملاء'!B5="","",'نجاح العملاء'!O5)</f>
        <v>75.8</v>
      </c>
      <c r="E79" s="65" t="str">
        <f t="shared" si="4"/>
        <v>يفوق التوقعات</v>
      </c>
      <c r="F79" s="66">
        <f>IF(D79="","",RANK(D79,$D$3:$D$152)+COUNTIF($D$3:D79,D79)-1)</f>
        <v>65</v>
      </c>
      <c r="G79" s="67">
        <f t="shared" si="5"/>
        <v>75.800789999999992</v>
      </c>
    </row>
    <row r="80" spans="1:7" x14ac:dyDescent="0.45">
      <c r="A80" s="55">
        <f>IF(B80="","",COUNTA($B$3:B80))</f>
        <v>78</v>
      </c>
      <c r="B80" s="17" t="str">
        <f>IF('نجاح العملاء'!B6="","",'نجاح العملاء'!B6)</f>
        <v>وليد الشهراني</v>
      </c>
      <c r="C80" s="68" t="str">
        <f>IF('نجاح العملاء'!B6="","","نجاح العملاء")</f>
        <v>نجاح العملاء</v>
      </c>
      <c r="D80" s="64">
        <f>IF('نجاح العملاء'!B6="","",'نجاح العملاء'!O6)</f>
        <v>77.400000000000006</v>
      </c>
      <c r="E80" s="69" t="str">
        <f t="shared" si="4"/>
        <v>يفوق التوقعات</v>
      </c>
      <c r="F80" s="70">
        <f>IF(D80="","",RANK(D80,$D$3:$D$152)+COUNTIF($D$3:D80,D80)-1)</f>
        <v>59</v>
      </c>
      <c r="G80" s="71">
        <f t="shared" si="5"/>
        <v>77.400800000000004</v>
      </c>
    </row>
    <row r="81" spans="1:7" x14ac:dyDescent="0.45">
      <c r="A81" s="60">
        <f>IF(B81="","",COUNTA($B$3:B81))</f>
        <v>79</v>
      </c>
      <c r="B81" s="24" t="str">
        <f>IF('نجاح العملاء'!B7="","",'نجاح العملاء'!B7)</f>
        <v>أمل الشهري</v>
      </c>
      <c r="C81" s="63" t="str">
        <f>IF('نجاح العملاء'!B7="","","نجاح العملاء")</f>
        <v>نجاح العملاء</v>
      </c>
      <c r="D81" s="64">
        <f>IF('نجاح العملاء'!B7="","",'نجاح العملاء'!O7)</f>
        <v>70.3</v>
      </c>
      <c r="E81" s="65" t="str">
        <f t="shared" si="4"/>
        <v>يلبّي التوقعات</v>
      </c>
      <c r="F81" s="66">
        <f>IF(D81="","",RANK(D81,$D$3:$D$152)+COUNTIF($D$3:D81,D81)-1)</f>
        <v>78</v>
      </c>
      <c r="G81" s="67">
        <f t="shared" si="5"/>
        <v>70.300809999999998</v>
      </c>
    </row>
    <row r="82" spans="1:7" x14ac:dyDescent="0.45">
      <c r="A82" s="55">
        <f>IF(B82="","",COUNTA($B$3:B82))</f>
        <v>80</v>
      </c>
      <c r="B82" s="17" t="str">
        <f>IF('نجاح العملاء'!B8="","",'نجاح العملاء'!B8)</f>
        <v>سعد السبيعي</v>
      </c>
      <c r="C82" s="68" t="str">
        <f>IF('نجاح العملاء'!B8="","","نجاح العملاء")</f>
        <v>نجاح العملاء</v>
      </c>
      <c r="D82" s="64">
        <f>IF('نجاح العملاء'!B8="","",'نجاح العملاء'!O8)</f>
        <v>84.7</v>
      </c>
      <c r="E82" s="69" t="str">
        <f t="shared" si="4"/>
        <v>يفوق التوقعات</v>
      </c>
      <c r="F82" s="70">
        <f>IF(D82="","",RANK(D82,$D$3:$D$152)+COUNTIF($D$3:D82,D82)-1)</f>
        <v>41</v>
      </c>
      <c r="G82" s="71">
        <f t="shared" si="5"/>
        <v>84.700820000000007</v>
      </c>
    </row>
    <row r="83" spans="1:7" x14ac:dyDescent="0.45">
      <c r="A83" s="60">
        <f>IF(B83="","",COUNTA($B$3:B83))</f>
        <v>81</v>
      </c>
      <c r="B83" s="24" t="str">
        <f>IF('نجاح العملاء'!B9="","",'نجاح العملاء'!B9)</f>
        <v>محمد الحربي</v>
      </c>
      <c r="C83" s="63" t="str">
        <f>IF('نجاح العملاء'!B9="","","نجاح العملاء")</f>
        <v>نجاح العملاء</v>
      </c>
      <c r="D83" s="64">
        <f>IF('نجاح العملاء'!B9="","",'نجاح العملاء'!O9)</f>
        <v>92.2</v>
      </c>
      <c r="E83" s="65" t="str">
        <f t="shared" si="4"/>
        <v>أداء متميز</v>
      </c>
      <c r="F83" s="66">
        <f>IF(D83="","",RANK(D83,$D$3:$D$152)+COUNTIF($D$3:D83,D83)-1)</f>
        <v>20</v>
      </c>
      <c r="G83" s="67">
        <f t="shared" si="5"/>
        <v>92.200829999999996</v>
      </c>
    </row>
    <row r="84" spans="1:7" x14ac:dyDescent="0.45">
      <c r="A84" s="55">
        <f>IF(B84="","",COUNTA($B$3:B84))</f>
        <v>82</v>
      </c>
      <c r="B84" s="17" t="str">
        <f>IF('نجاح العملاء'!B10="","",'نجاح العملاء'!B10)</f>
        <v>نورة الدوسري</v>
      </c>
      <c r="C84" s="68" t="str">
        <f>IF('نجاح العملاء'!B10="","","نجاح العملاء")</f>
        <v>نجاح العملاء</v>
      </c>
      <c r="D84" s="64">
        <f>IF('نجاح العملاء'!B10="","",'نجاح العملاء'!O10)</f>
        <v>72.7</v>
      </c>
      <c r="E84" s="69" t="str">
        <f t="shared" si="4"/>
        <v>يلبّي التوقعات</v>
      </c>
      <c r="F84" s="70">
        <f>IF(D84="","",RANK(D84,$D$3:$D$152)+COUNTIF($D$3:D84,D84)-1)</f>
        <v>71</v>
      </c>
      <c r="G84" s="71">
        <f t="shared" si="5"/>
        <v>72.700839999999999</v>
      </c>
    </row>
    <row r="85" spans="1:7" x14ac:dyDescent="0.45">
      <c r="A85" s="60">
        <f>IF(B85="","",COUNTA($B$3:B85))</f>
        <v>83</v>
      </c>
      <c r="B85" s="24" t="str">
        <f>IF('نجاح العملاء'!B11="","",'نجاح العملاء'!B11)</f>
        <v>وليد الشهري</v>
      </c>
      <c r="C85" s="63" t="str">
        <f>IF('نجاح العملاء'!B11="","","نجاح العملاء")</f>
        <v>نجاح العملاء</v>
      </c>
      <c r="D85" s="64">
        <f>IF('نجاح العملاء'!B11="","",'نجاح العملاء'!O11)</f>
        <v>75.099999999999994</v>
      </c>
      <c r="E85" s="65" t="str">
        <f t="shared" si="4"/>
        <v>يفوق التوقعات</v>
      </c>
      <c r="F85" s="66">
        <f>IF(D85="","",RANK(D85,$D$3:$D$152)+COUNTIF($D$3:D85,D85)-1)</f>
        <v>67</v>
      </c>
      <c r="G85" s="67">
        <f t="shared" si="5"/>
        <v>75.100849999999994</v>
      </c>
    </row>
    <row r="86" spans="1:7" x14ac:dyDescent="0.45">
      <c r="A86" s="55">
        <f>IF(B86="","",COUNTA($B$3:B86))</f>
        <v>84</v>
      </c>
      <c r="B86" s="17" t="str">
        <f>IF('نجاح العملاء'!B12="","",'نجاح العملاء'!B12)</f>
        <v>مشعل العتيبي</v>
      </c>
      <c r="C86" s="68" t="str">
        <f>IF('نجاح العملاء'!B12="","","نجاح العملاء")</f>
        <v>نجاح العملاء</v>
      </c>
      <c r="D86" s="64">
        <f>IF('نجاح العملاء'!B12="","",'نجاح العملاء'!O12)</f>
        <v>48.7</v>
      </c>
      <c r="E86" s="69" t="str">
        <f t="shared" si="4"/>
        <v>يحتاج تطوير</v>
      </c>
      <c r="F86" s="70">
        <f>IF(D86="","",RANK(D86,$D$3:$D$152)+COUNTIF($D$3:D86,D86)-1)</f>
        <v>101</v>
      </c>
      <c r="G86" s="71">
        <f t="shared" si="5"/>
        <v>48.700860000000006</v>
      </c>
    </row>
    <row r="87" spans="1:7" x14ac:dyDescent="0.45">
      <c r="A87" s="60">
        <f>IF(B87="","",COUNTA($B$3:B87))</f>
        <v>85</v>
      </c>
      <c r="B87" s="24" t="str">
        <f>IF('نجاح العملاء'!B13="","",'نجاح العملاء'!B13)</f>
        <v>العنود الرشيدي</v>
      </c>
      <c r="C87" s="63" t="str">
        <f>IF('نجاح العملاء'!B13="","","نجاح العملاء")</f>
        <v>نجاح العملاء</v>
      </c>
      <c r="D87" s="64">
        <f>IF('نجاح العملاء'!B13="","",'نجاح العملاء'!O13)</f>
        <v>73.599999999999994</v>
      </c>
      <c r="E87" s="65" t="str">
        <f t="shared" si="4"/>
        <v>يلبّي التوقعات</v>
      </c>
      <c r="F87" s="66">
        <f>IF(D87="","",RANK(D87,$D$3:$D$152)+COUNTIF($D$3:D87,D87)-1)</f>
        <v>69</v>
      </c>
      <c r="G87" s="67">
        <f t="shared" si="5"/>
        <v>73.60087</v>
      </c>
    </row>
    <row r="88" spans="1:7" x14ac:dyDescent="0.45">
      <c r="A88" s="55">
        <f>IF(B88="","",COUNTA($B$3:B88))</f>
        <v>86</v>
      </c>
      <c r="B88" s="17" t="str">
        <f>IF('نجاح العملاء'!B14="","",'نجاح العملاء'!B14)</f>
        <v>نواف العتيبي</v>
      </c>
      <c r="C88" s="68" t="str">
        <f>IF('نجاح العملاء'!B14="","","نجاح العملاء")</f>
        <v>نجاح العملاء</v>
      </c>
      <c r="D88" s="64">
        <f>IF('نجاح العملاء'!B14="","",'نجاح العملاء'!O14)</f>
        <v>89</v>
      </c>
      <c r="E88" s="69" t="str">
        <f t="shared" si="4"/>
        <v>يفوق التوقعات</v>
      </c>
      <c r="F88" s="70">
        <f>IF(D88="","",RANK(D88,$D$3:$D$152)+COUNTIF($D$3:D88,D88)-1)</f>
        <v>27</v>
      </c>
      <c r="G88" s="71">
        <f t="shared" si="5"/>
        <v>89.000879999999995</v>
      </c>
    </row>
    <row r="89" spans="1:7" x14ac:dyDescent="0.45">
      <c r="A89" s="60">
        <f>IF(B89="","",COUNTA($B$3:B89))</f>
        <v>87</v>
      </c>
      <c r="B89" s="24" t="str">
        <f>IF('نجاح العملاء'!B15="","",'نجاح العملاء'!B15)</f>
        <v>عبدالعزيز العنزي</v>
      </c>
      <c r="C89" s="63" t="str">
        <f>IF('نجاح العملاء'!B15="","","نجاح العملاء")</f>
        <v>نجاح العملاء</v>
      </c>
      <c r="D89" s="64">
        <f>IF('نجاح العملاء'!B15="","",'نجاح العملاء'!O15)</f>
        <v>96.3</v>
      </c>
      <c r="E89" s="65" t="str">
        <f t="shared" si="4"/>
        <v>أداء متميز</v>
      </c>
      <c r="F89" s="66">
        <f>IF(D89="","",RANK(D89,$D$3:$D$152)+COUNTIF($D$3:D89,D89)-1)</f>
        <v>12</v>
      </c>
      <c r="G89" s="67">
        <f t="shared" si="5"/>
        <v>96.300889999999995</v>
      </c>
    </row>
    <row r="90" spans="1:7" x14ac:dyDescent="0.45">
      <c r="A90" s="55">
        <f>IF(B90="","",COUNTA($B$3:B90))</f>
        <v>88</v>
      </c>
      <c r="B90" s="17" t="str">
        <f>IF('نجاح العملاء'!B16="","",'نجاح العملاء'!B16)</f>
        <v>عبدالرحمن البقمي</v>
      </c>
      <c r="C90" s="68" t="str">
        <f>IF('نجاح العملاء'!B16="","","نجاح العملاء")</f>
        <v>نجاح العملاء</v>
      </c>
      <c r="D90" s="64">
        <f>IF('نجاح العملاء'!B16="","",'نجاح العملاء'!O16)</f>
        <v>70.900000000000006</v>
      </c>
      <c r="E90" s="69" t="str">
        <f t="shared" si="4"/>
        <v>يلبّي التوقعات</v>
      </c>
      <c r="F90" s="70">
        <f>IF(D90="","",RANK(D90,$D$3:$D$152)+COUNTIF($D$3:D90,D90)-1)</f>
        <v>76</v>
      </c>
      <c r="G90" s="71">
        <f t="shared" si="5"/>
        <v>70.900900000000007</v>
      </c>
    </row>
    <row r="91" spans="1:7" x14ac:dyDescent="0.45">
      <c r="A91" s="60">
        <f>IF(B91="","",COUNTA($B$3:B91))</f>
        <v>89</v>
      </c>
      <c r="B91" s="24" t="str">
        <f>IF('نجاح العملاء'!B17="","",'نجاح العملاء'!B17)</f>
        <v>أمل العمري</v>
      </c>
      <c r="C91" s="63" t="str">
        <f>IF('نجاح العملاء'!B17="","","نجاح العملاء")</f>
        <v>نجاح العملاء</v>
      </c>
      <c r="D91" s="64">
        <f>IF('نجاح العملاء'!B17="","",'نجاح العملاء'!O17)</f>
        <v>88.6</v>
      </c>
      <c r="E91" s="65" t="str">
        <f t="shared" si="4"/>
        <v>يفوق التوقعات</v>
      </c>
      <c r="F91" s="66">
        <f>IF(D91="","",RANK(D91,$D$3:$D$152)+COUNTIF($D$3:D91,D91)-1)</f>
        <v>29</v>
      </c>
      <c r="G91" s="67">
        <f t="shared" si="5"/>
        <v>88.600909999999999</v>
      </c>
    </row>
    <row r="92" spans="1:7" x14ac:dyDescent="0.45">
      <c r="A92" s="55">
        <f>IF(B92="","",COUNTA($B$3:B92))</f>
        <v>90</v>
      </c>
      <c r="B92" s="17" t="str">
        <f>IF('نجاح العملاء'!B18="","",'نجاح العملاء'!B18)</f>
        <v>نواف العمري</v>
      </c>
      <c r="C92" s="68" t="str">
        <f>IF('نجاح العملاء'!B18="","","نجاح العملاء")</f>
        <v>نجاح العملاء</v>
      </c>
      <c r="D92" s="64">
        <f>IF('نجاح العملاء'!B18="","",'نجاح العملاء'!O18)</f>
        <v>63.6</v>
      </c>
      <c r="E92" s="69" t="str">
        <f t="shared" si="4"/>
        <v>يلبّي التوقعات</v>
      </c>
      <c r="F92" s="70">
        <f>IF(D92="","",RANK(D92,$D$3:$D$152)+COUNTIF($D$3:D92,D92)-1)</f>
        <v>90</v>
      </c>
      <c r="G92" s="71">
        <f t="shared" si="5"/>
        <v>63.600920000000002</v>
      </c>
    </row>
    <row r="93" spans="1:7" x14ac:dyDescent="0.45">
      <c r="A93" s="60">
        <f>IF(B93="","",COUNTA($B$3:B93))</f>
        <v>91</v>
      </c>
      <c r="B93" s="24" t="str">
        <f>IF('نجاح العملاء'!B19="","",'نجاح العملاء'!B19)</f>
        <v>لمى الشهري</v>
      </c>
      <c r="C93" s="63" t="str">
        <f>IF('نجاح العملاء'!B19="","","نجاح العملاء")</f>
        <v>نجاح العملاء</v>
      </c>
      <c r="D93" s="64">
        <f>IF('نجاح العملاء'!B19="","",'نجاح العملاء'!O19)</f>
        <v>63.9</v>
      </c>
      <c r="E93" s="65" t="str">
        <f t="shared" si="4"/>
        <v>يلبّي التوقعات</v>
      </c>
      <c r="F93" s="66">
        <f>IF(D93="","",RANK(D93,$D$3:$D$152)+COUNTIF($D$3:D93,D93)-1)</f>
        <v>88</v>
      </c>
      <c r="G93" s="67">
        <f t="shared" si="5"/>
        <v>63.900929999999995</v>
      </c>
    </row>
    <row r="94" spans="1:7" x14ac:dyDescent="0.45">
      <c r="A94" s="55">
        <f>IF(B94="","",COUNTA($B$3:B94))</f>
        <v>92</v>
      </c>
      <c r="B94" s="17" t="str">
        <f>IF('نجاح العملاء'!B20="","",'نجاح العملاء'!B20)</f>
        <v>فيصل القحطاني</v>
      </c>
      <c r="C94" s="68" t="str">
        <f>IF('نجاح العملاء'!B20="","","نجاح العملاء")</f>
        <v>نجاح العملاء</v>
      </c>
      <c r="D94" s="64">
        <f>IF('نجاح العملاء'!B20="","",'نجاح العملاء'!O20)</f>
        <v>90.7</v>
      </c>
      <c r="E94" s="69" t="str">
        <f t="shared" si="4"/>
        <v>أداء متميز</v>
      </c>
      <c r="F94" s="70">
        <f>IF(D94="","",RANK(D94,$D$3:$D$152)+COUNTIF($D$3:D94,D94)-1)</f>
        <v>25</v>
      </c>
      <c r="G94" s="71">
        <f t="shared" si="5"/>
        <v>90.700940000000003</v>
      </c>
    </row>
    <row r="95" spans="1:7" x14ac:dyDescent="0.45">
      <c r="A95" s="60">
        <f>IF(B95="","",COUNTA($B$3:B95))</f>
        <v>93</v>
      </c>
      <c r="B95" s="24" t="str">
        <f>IF('نجاح العملاء'!B21="","",'نجاح العملاء'!B21)</f>
        <v>خالد الرشيدي</v>
      </c>
      <c r="C95" s="63" t="str">
        <f>IF('نجاح العملاء'!B21="","","نجاح العملاء")</f>
        <v>نجاح العملاء</v>
      </c>
      <c r="D95" s="64">
        <f>IF('نجاح العملاء'!B21="","",'نجاح العملاء'!O21)</f>
        <v>86</v>
      </c>
      <c r="E95" s="65" t="str">
        <f t="shared" si="4"/>
        <v>يفوق التوقعات</v>
      </c>
      <c r="F95" s="66">
        <f>IF(D95="","",RANK(D95,$D$3:$D$152)+COUNTIF($D$3:D95,D95)-1)</f>
        <v>37</v>
      </c>
      <c r="G95" s="67">
        <f t="shared" si="5"/>
        <v>86.000950000000003</v>
      </c>
    </row>
    <row r="96" spans="1:7" x14ac:dyDescent="0.45">
      <c r="A96" s="55" t="str">
        <f>IF(B96="","",COUNTA($B$3:B96))</f>
        <v/>
      </c>
      <c r="B96" s="17" t="str">
        <f>IF('نجاح العملاء'!B22="","",'نجاح العملاء'!B22)</f>
        <v/>
      </c>
      <c r="C96" s="68" t="str">
        <f>IF('نجاح العملاء'!B22="","","نجاح العملاء")</f>
        <v/>
      </c>
      <c r="D96" s="64" t="str">
        <f>IF('نجاح العملاء'!B22="","",'نجاح العملاء'!O22)</f>
        <v/>
      </c>
      <c r="E96" s="69" t="str">
        <f t="shared" si="4"/>
        <v/>
      </c>
      <c r="F96" s="70" t="str">
        <f>IF(D96="","",RANK(D96,$D$3:$D$152)+COUNTIF($D$3:D96,D96)-1)</f>
        <v/>
      </c>
      <c r="G96" s="71" t="str">
        <f t="shared" si="5"/>
        <v/>
      </c>
    </row>
    <row r="97" spans="1:7" x14ac:dyDescent="0.45">
      <c r="A97" s="60" t="str">
        <f>IF(B97="","",COUNTA($B$3:B97))</f>
        <v/>
      </c>
      <c r="B97" s="24" t="str">
        <f>IF('نجاح العملاء'!B23="","",'نجاح العملاء'!B23)</f>
        <v/>
      </c>
      <c r="C97" s="63" t="str">
        <f>IF('نجاح العملاء'!B23="","","نجاح العملاء")</f>
        <v/>
      </c>
      <c r="D97" s="64" t="str">
        <f>IF('نجاح العملاء'!B23="","",'نجاح العملاء'!O23)</f>
        <v/>
      </c>
      <c r="E97" s="65" t="str">
        <f t="shared" si="4"/>
        <v/>
      </c>
      <c r="F97" s="66" t="str">
        <f>IF(D97="","",RANK(D97,$D$3:$D$152)+COUNTIF($D$3:D97,D97)-1)</f>
        <v/>
      </c>
      <c r="G97" s="67" t="str">
        <f t="shared" si="5"/>
        <v/>
      </c>
    </row>
    <row r="98" spans="1:7" x14ac:dyDescent="0.45">
      <c r="A98" s="55" t="str">
        <f>IF(B98="","",COUNTA($B$3:B98))</f>
        <v/>
      </c>
      <c r="B98" s="17" t="str">
        <f>IF('نجاح العملاء'!B24="","",'نجاح العملاء'!B24)</f>
        <v/>
      </c>
      <c r="C98" s="68" t="str">
        <f>IF('نجاح العملاء'!B24="","","نجاح العملاء")</f>
        <v/>
      </c>
      <c r="D98" s="64" t="str">
        <f>IF('نجاح العملاء'!B24="","",'نجاح العملاء'!O24)</f>
        <v/>
      </c>
      <c r="E98" s="69" t="str">
        <f t="shared" si="4"/>
        <v/>
      </c>
      <c r="F98" s="70" t="str">
        <f>IF(D98="","",RANK(D98,$D$3:$D$152)+COUNTIF($D$3:D98,D98)-1)</f>
        <v/>
      </c>
      <c r="G98" s="71" t="str">
        <f t="shared" si="5"/>
        <v/>
      </c>
    </row>
    <row r="99" spans="1:7" x14ac:dyDescent="0.45">
      <c r="A99" s="60" t="str">
        <f>IF(B99="","",COUNTA($B$3:B99))</f>
        <v/>
      </c>
      <c r="B99" s="24" t="str">
        <f>IF('نجاح العملاء'!B25="","",'نجاح العملاء'!B25)</f>
        <v/>
      </c>
      <c r="C99" s="63" t="str">
        <f>IF('نجاح العملاء'!B25="","","نجاح العملاء")</f>
        <v/>
      </c>
      <c r="D99" s="64" t="str">
        <f>IF('نجاح العملاء'!B25="","",'نجاح العملاء'!O25)</f>
        <v/>
      </c>
      <c r="E99" s="65" t="str">
        <f t="shared" ref="E99:E130" si="6">IF(D99="","",IF(D99&gt;=90,"أداء متميز",IF(D99&gt;=75,"يفوق التوقعات",IF(D99&gt;=60,"يلبّي التوقعات",IF(D99&gt;=45,"يحتاج تطوير","غير مُرضٍ")))))</f>
        <v/>
      </c>
      <c r="F99" s="66" t="str">
        <f>IF(D99="","",RANK(D99,$D$3:$D$152)+COUNTIF($D$3:D99,D99)-1)</f>
        <v/>
      </c>
      <c r="G99" s="67" t="str">
        <f t="shared" ref="G99:G130" si="7">IF(D99="","",D99+ROW()/100000)</f>
        <v/>
      </c>
    </row>
    <row r="100" spans="1:7" x14ac:dyDescent="0.45">
      <c r="A100" s="55" t="str">
        <f>IF(B100="","",COUNTA($B$3:B100))</f>
        <v/>
      </c>
      <c r="B100" s="17" t="str">
        <f>IF('نجاح العملاء'!B26="","",'نجاح العملاء'!B26)</f>
        <v/>
      </c>
      <c r="C100" s="68" t="str">
        <f>IF('نجاح العملاء'!B26="","","نجاح العملاء")</f>
        <v/>
      </c>
      <c r="D100" s="64" t="str">
        <f>IF('نجاح العملاء'!B26="","",'نجاح العملاء'!O26)</f>
        <v/>
      </c>
      <c r="E100" s="69" t="str">
        <f t="shared" si="6"/>
        <v/>
      </c>
      <c r="F100" s="70" t="str">
        <f>IF(D100="","",RANK(D100,$D$3:$D$152)+COUNTIF($D$3:D100,D100)-1)</f>
        <v/>
      </c>
      <c r="G100" s="71" t="str">
        <f t="shared" si="7"/>
        <v/>
      </c>
    </row>
    <row r="101" spans="1:7" x14ac:dyDescent="0.45">
      <c r="A101" s="60" t="str">
        <f>IF(B101="","",COUNTA($B$3:B101))</f>
        <v/>
      </c>
      <c r="B101" s="24" t="str">
        <f>IF('نجاح العملاء'!B27="","",'نجاح العملاء'!B27)</f>
        <v/>
      </c>
      <c r="C101" s="63" t="str">
        <f>IF('نجاح العملاء'!B27="","","نجاح العملاء")</f>
        <v/>
      </c>
      <c r="D101" s="64" t="str">
        <f>IF('نجاح العملاء'!B27="","",'نجاح العملاء'!O27)</f>
        <v/>
      </c>
      <c r="E101" s="65" t="str">
        <f t="shared" si="6"/>
        <v/>
      </c>
      <c r="F101" s="66" t="str">
        <f>IF(D101="","",RANK(D101,$D$3:$D$152)+COUNTIF($D$3:D101,D101)-1)</f>
        <v/>
      </c>
      <c r="G101" s="67" t="str">
        <f t="shared" si="7"/>
        <v/>
      </c>
    </row>
    <row r="102" spans="1:7" x14ac:dyDescent="0.45">
      <c r="A102" s="55" t="str">
        <f>IF(B102="","",COUNTA($B$3:B102))</f>
        <v/>
      </c>
      <c r="B102" s="17" t="str">
        <f>IF('نجاح العملاء'!B28="","",'نجاح العملاء'!B28)</f>
        <v/>
      </c>
      <c r="C102" s="68" t="str">
        <f>IF('نجاح العملاء'!B28="","","نجاح العملاء")</f>
        <v/>
      </c>
      <c r="D102" s="64" t="str">
        <f>IF('نجاح العملاء'!B28="","",'نجاح العملاء'!O28)</f>
        <v/>
      </c>
      <c r="E102" s="69" t="str">
        <f t="shared" si="6"/>
        <v/>
      </c>
      <c r="F102" s="70" t="str">
        <f>IF(D102="","",RANK(D102,$D$3:$D$152)+COUNTIF($D$3:D102,D102)-1)</f>
        <v/>
      </c>
      <c r="G102" s="71" t="str">
        <f t="shared" si="7"/>
        <v/>
      </c>
    </row>
    <row r="103" spans="1:7" x14ac:dyDescent="0.45">
      <c r="A103" s="60">
        <f>IF(B103="","",COUNTA($B$3:B103))</f>
        <v>101</v>
      </c>
      <c r="B103" s="24" t="str">
        <f>IF('تطوير البرمجيات'!B4="","",'تطوير البرمجيات'!B4)</f>
        <v>تركي الشهراني</v>
      </c>
      <c r="C103" s="63" t="str">
        <f>IF('تطوير البرمجيات'!B4="","","تطوير البرمجيات")</f>
        <v>تطوير البرمجيات</v>
      </c>
      <c r="D103" s="64">
        <f>IF('تطوير البرمجيات'!B4="","",'تطوير البرمجيات'!O4)</f>
        <v>96.3</v>
      </c>
      <c r="E103" s="65" t="str">
        <f t="shared" si="6"/>
        <v>أداء متميز</v>
      </c>
      <c r="F103" s="66">
        <f>IF(D103="","",RANK(D103,$D$3:$D$152)+COUNTIF($D$3:D103,D103)-1)</f>
        <v>13</v>
      </c>
      <c r="G103" s="67">
        <f t="shared" si="7"/>
        <v>96.301029999999997</v>
      </c>
    </row>
    <row r="104" spans="1:7" x14ac:dyDescent="0.45">
      <c r="A104" s="55">
        <f>IF(B104="","",COUNTA($B$3:B104))</f>
        <v>102</v>
      </c>
      <c r="B104" s="17" t="str">
        <f>IF('تطوير البرمجيات'!B5="","",'تطوير البرمجيات'!B5)</f>
        <v>طارق الشمري</v>
      </c>
      <c r="C104" s="68" t="str">
        <f>IF('تطوير البرمجيات'!B5="","","تطوير البرمجيات")</f>
        <v>تطوير البرمجيات</v>
      </c>
      <c r="D104" s="64">
        <f>IF('تطوير البرمجيات'!B5="","",'تطوير البرمجيات'!O5)</f>
        <v>99.4</v>
      </c>
      <c r="E104" s="69" t="str">
        <f t="shared" si="6"/>
        <v>أداء متميز</v>
      </c>
      <c r="F104" s="70">
        <f>IF(D104="","",RANK(D104,$D$3:$D$152)+COUNTIF($D$3:D104,D104)-1)</f>
        <v>4</v>
      </c>
      <c r="G104" s="71">
        <f t="shared" si="7"/>
        <v>99.401040000000009</v>
      </c>
    </row>
    <row r="105" spans="1:7" x14ac:dyDescent="0.45">
      <c r="A105" s="60">
        <f>IF(B105="","",COUNTA($B$3:B105))</f>
        <v>103</v>
      </c>
      <c r="B105" s="24" t="str">
        <f>IF('تطوير البرمجيات'!B6="","",'تطوير البرمجيات'!B6)</f>
        <v>سعد المالكي</v>
      </c>
      <c r="C105" s="63" t="str">
        <f>IF('تطوير البرمجيات'!B6="","","تطوير البرمجيات")</f>
        <v>تطوير البرمجيات</v>
      </c>
      <c r="D105" s="64">
        <f>IF('تطوير البرمجيات'!B6="","",'تطوير البرمجيات'!O6)</f>
        <v>91.3</v>
      </c>
      <c r="E105" s="65" t="str">
        <f t="shared" si="6"/>
        <v>أداء متميز</v>
      </c>
      <c r="F105" s="66">
        <f>IF(D105="","",RANK(D105,$D$3:$D$152)+COUNTIF($D$3:D105,D105)-1)</f>
        <v>23</v>
      </c>
      <c r="G105" s="67">
        <f t="shared" si="7"/>
        <v>91.301050000000004</v>
      </c>
    </row>
    <row r="106" spans="1:7" x14ac:dyDescent="0.45">
      <c r="A106" s="55">
        <f>IF(B106="","",COUNTA($B$3:B106))</f>
        <v>104</v>
      </c>
      <c r="B106" s="17" t="str">
        <f>IF('تطوير البرمجيات'!B7="","",'تطوير البرمجيات'!B7)</f>
        <v>عبدالرحمن العنزي</v>
      </c>
      <c r="C106" s="68" t="str">
        <f>IF('تطوير البرمجيات'!B7="","","تطوير البرمجيات")</f>
        <v>تطوير البرمجيات</v>
      </c>
      <c r="D106" s="64">
        <f>IF('تطوير البرمجيات'!B7="","",'تطوير البرمجيات'!O7)</f>
        <v>76.599999999999994</v>
      </c>
      <c r="E106" s="69" t="str">
        <f t="shared" si="6"/>
        <v>يفوق التوقعات</v>
      </c>
      <c r="F106" s="70">
        <f>IF(D106="","",RANK(D106,$D$3:$D$152)+COUNTIF($D$3:D106,D106)-1)</f>
        <v>61</v>
      </c>
      <c r="G106" s="71">
        <f t="shared" si="7"/>
        <v>76.60105999999999</v>
      </c>
    </row>
    <row r="107" spans="1:7" x14ac:dyDescent="0.45">
      <c r="A107" s="60">
        <f>IF(B107="","",COUNTA($B$3:B107))</f>
        <v>105</v>
      </c>
      <c r="B107" s="24" t="str">
        <f>IF('تطوير البرمجيات'!B8="","",'تطوير البرمجيات'!B8)</f>
        <v>منيرة السبيعي</v>
      </c>
      <c r="C107" s="63" t="str">
        <f>IF('تطوير البرمجيات'!B8="","","تطوير البرمجيات")</f>
        <v>تطوير البرمجيات</v>
      </c>
      <c r="D107" s="64">
        <f>IF('تطوير البرمجيات'!B8="","",'تطوير البرمجيات'!O8)</f>
        <v>89.5</v>
      </c>
      <c r="E107" s="65" t="str">
        <f t="shared" si="6"/>
        <v>يفوق التوقعات</v>
      </c>
      <c r="F107" s="66">
        <f>IF(D107="","",RANK(D107,$D$3:$D$152)+COUNTIF($D$3:D107,D107)-1)</f>
        <v>26</v>
      </c>
      <c r="G107" s="67">
        <f t="shared" si="7"/>
        <v>89.501069999999999</v>
      </c>
    </row>
    <row r="108" spans="1:7" x14ac:dyDescent="0.45">
      <c r="A108" s="55">
        <f>IF(B108="","",COUNTA($B$3:B108))</f>
        <v>106</v>
      </c>
      <c r="B108" s="17" t="str">
        <f>IF('تطوير البرمجيات'!B9="","",'تطوير البرمجيات'!B9)</f>
        <v>وليد الجهني</v>
      </c>
      <c r="C108" s="68" t="str">
        <f>IF('تطوير البرمجيات'!B9="","","تطوير البرمجيات")</f>
        <v>تطوير البرمجيات</v>
      </c>
      <c r="D108" s="64">
        <f>IF('تطوير البرمجيات'!B9="","",'تطوير البرمجيات'!O9)</f>
        <v>98.4</v>
      </c>
      <c r="E108" s="69" t="str">
        <f t="shared" si="6"/>
        <v>أداء متميز</v>
      </c>
      <c r="F108" s="70">
        <f>IF(D108="","",RANK(D108,$D$3:$D$152)+COUNTIF($D$3:D108,D108)-1)</f>
        <v>6</v>
      </c>
      <c r="G108" s="71">
        <f t="shared" si="7"/>
        <v>98.401080000000007</v>
      </c>
    </row>
    <row r="109" spans="1:7" x14ac:dyDescent="0.45">
      <c r="A109" s="60">
        <f>IF(B109="","",COUNTA($B$3:B109))</f>
        <v>107</v>
      </c>
      <c r="B109" s="24" t="str">
        <f>IF('تطوير البرمجيات'!B10="","",'تطوير البرمجيات'!B10)</f>
        <v>تركي الزائدي</v>
      </c>
      <c r="C109" s="63" t="str">
        <f>IF('تطوير البرمجيات'!B10="","","تطوير البرمجيات")</f>
        <v>تطوير البرمجيات</v>
      </c>
      <c r="D109" s="64">
        <f>IF('تطوير البرمجيات'!B10="","",'تطوير البرمجيات'!O10)</f>
        <v>79.2</v>
      </c>
      <c r="E109" s="65" t="str">
        <f t="shared" si="6"/>
        <v>يفوق التوقعات</v>
      </c>
      <c r="F109" s="66">
        <f>IF(D109="","",RANK(D109,$D$3:$D$152)+COUNTIF($D$3:D109,D109)-1)</f>
        <v>51</v>
      </c>
      <c r="G109" s="67">
        <f t="shared" si="7"/>
        <v>79.201090000000008</v>
      </c>
    </row>
    <row r="110" spans="1:7" x14ac:dyDescent="0.45">
      <c r="A110" s="55">
        <f>IF(B110="","",COUNTA($B$3:B110))</f>
        <v>108</v>
      </c>
      <c r="B110" s="17" t="str">
        <f>IF('تطوير البرمجيات'!B11="","",'تطوير البرمجيات'!B11)</f>
        <v>سلطان المطيري</v>
      </c>
      <c r="C110" s="68" t="str">
        <f>IF('تطوير البرمجيات'!B11="","","تطوير البرمجيات")</f>
        <v>تطوير البرمجيات</v>
      </c>
      <c r="D110" s="64">
        <f>IF('تطوير البرمجيات'!B11="","",'تطوير البرمجيات'!O11)</f>
        <v>98</v>
      </c>
      <c r="E110" s="69" t="str">
        <f t="shared" si="6"/>
        <v>أداء متميز</v>
      </c>
      <c r="F110" s="70">
        <f>IF(D110="","",RANK(D110,$D$3:$D$152)+COUNTIF($D$3:D110,D110)-1)</f>
        <v>8</v>
      </c>
      <c r="G110" s="71">
        <f t="shared" si="7"/>
        <v>98.001099999999994</v>
      </c>
    </row>
    <row r="111" spans="1:7" x14ac:dyDescent="0.45">
      <c r="A111" s="60">
        <f>IF(B111="","",COUNTA($B$3:B111))</f>
        <v>109</v>
      </c>
      <c r="B111" s="24" t="str">
        <f>IF('تطوير البرمجيات'!B12="","",'تطوير البرمجيات'!B12)</f>
        <v>سارة الغامدي</v>
      </c>
      <c r="C111" s="63" t="str">
        <f>IF('تطوير البرمجيات'!B12="","","تطوير البرمجيات")</f>
        <v>تطوير البرمجيات</v>
      </c>
      <c r="D111" s="64">
        <f>IF('تطوير البرمجيات'!B12="","",'تطوير البرمجيات'!O12)</f>
        <v>59.4</v>
      </c>
      <c r="E111" s="65" t="str">
        <f t="shared" si="6"/>
        <v>يحتاج تطوير</v>
      </c>
      <c r="F111" s="66">
        <f>IF(D111="","",RANK(D111,$D$3:$D$152)+COUNTIF($D$3:D111,D111)-1)</f>
        <v>93</v>
      </c>
      <c r="G111" s="67">
        <f t="shared" si="7"/>
        <v>59.401109999999996</v>
      </c>
    </row>
    <row r="112" spans="1:7" x14ac:dyDescent="0.45">
      <c r="A112" s="55">
        <f>IF(B112="","",COUNTA($B$3:B112))</f>
        <v>110</v>
      </c>
      <c r="B112" s="17" t="str">
        <f>IF('تطوير البرمجيات'!B13="","",'تطوير البرمجيات'!B13)</f>
        <v>العنود العمري</v>
      </c>
      <c r="C112" s="68" t="str">
        <f>IF('تطوير البرمجيات'!B13="","","تطوير البرمجيات")</f>
        <v>تطوير البرمجيات</v>
      </c>
      <c r="D112" s="64">
        <f>IF('تطوير البرمجيات'!B13="","",'تطوير البرمجيات'!O13)</f>
        <v>87.2</v>
      </c>
      <c r="E112" s="69" t="str">
        <f t="shared" si="6"/>
        <v>يفوق التوقعات</v>
      </c>
      <c r="F112" s="70">
        <f>IF(D112="","",RANK(D112,$D$3:$D$152)+COUNTIF($D$3:D112,D112)-1)</f>
        <v>34</v>
      </c>
      <c r="G112" s="71">
        <f t="shared" si="7"/>
        <v>87.201120000000003</v>
      </c>
    </row>
    <row r="113" spans="1:7" x14ac:dyDescent="0.45">
      <c r="A113" s="60">
        <f>IF(B113="","",COUNTA($B$3:B113))</f>
        <v>111</v>
      </c>
      <c r="B113" s="24" t="str">
        <f>IF('تطوير البرمجيات'!B14="","",'تطوير البرمجيات'!B14)</f>
        <v>لمى السبيعي</v>
      </c>
      <c r="C113" s="63" t="str">
        <f>IF('تطوير البرمجيات'!B14="","","تطوير البرمجيات")</f>
        <v>تطوير البرمجيات</v>
      </c>
      <c r="D113" s="64">
        <f>IF('تطوير البرمجيات'!B14="","",'تطوير البرمجيات'!O14)</f>
        <v>56.9</v>
      </c>
      <c r="E113" s="65" t="str">
        <f t="shared" si="6"/>
        <v>يحتاج تطوير</v>
      </c>
      <c r="F113" s="66">
        <f>IF(D113="","",RANK(D113,$D$3:$D$152)+COUNTIF($D$3:D113,D113)-1)</f>
        <v>96</v>
      </c>
      <c r="G113" s="67">
        <f t="shared" si="7"/>
        <v>56.901130000000002</v>
      </c>
    </row>
    <row r="114" spans="1:7" x14ac:dyDescent="0.45">
      <c r="A114" s="55">
        <f>IF(B114="","",COUNTA($B$3:B114))</f>
        <v>112</v>
      </c>
      <c r="B114" s="17" t="str">
        <f>IF('تطوير البرمجيات'!B15="","",'تطوير البرمجيات'!B15)</f>
        <v>لطيفة الشهراني</v>
      </c>
      <c r="C114" s="68" t="str">
        <f>IF('تطوير البرمجيات'!B15="","","تطوير البرمجيات")</f>
        <v>تطوير البرمجيات</v>
      </c>
      <c r="D114" s="64">
        <f>IF('تطوير البرمجيات'!B15="","",'تطوير البرمجيات'!O15)</f>
        <v>71.900000000000006</v>
      </c>
      <c r="E114" s="69" t="str">
        <f t="shared" si="6"/>
        <v>يلبّي التوقعات</v>
      </c>
      <c r="F114" s="70">
        <f>IF(D114="","",RANK(D114,$D$3:$D$152)+COUNTIF($D$3:D114,D114)-1)</f>
        <v>73</v>
      </c>
      <c r="G114" s="71">
        <f t="shared" si="7"/>
        <v>71.901140000000012</v>
      </c>
    </row>
    <row r="115" spans="1:7" x14ac:dyDescent="0.45">
      <c r="A115" s="60">
        <f>IF(B115="","",COUNTA($B$3:B115))</f>
        <v>113</v>
      </c>
      <c r="B115" s="24" t="str">
        <f>IF('تطوير البرمجيات'!B16="","",'تطوير البرمجيات'!B16)</f>
        <v>خالد الشهراني</v>
      </c>
      <c r="C115" s="63" t="str">
        <f>IF('تطوير البرمجيات'!B16="","","تطوير البرمجيات")</f>
        <v>تطوير البرمجيات</v>
      </c>
      <c r="D115" s="64">
        <f>IF('تطوير البرمجيات'!B16="","",'تطوير البرمجيات'!O16)</f>
        <v>83</v>
      </c>
      <c r="E115" s="65" t="str">
        <f t="shared" si="6"/>
        <v>يفوق التوقعات</v>
      </c>
      <c r="F115" s="66">
        <f>IF(D115="","",RANK(D115,$D$3:$D$152)+COUNTIF($D$3:D115,D115)-1)</f>
        <v>42</v>
      </c>
      <c r="G115" s="67">
        <f t="shared" si="7"/>
        <v>83.001149999999996</v>
      </c>
    </row>
    <row r="116" spans="1:7" x14ac:dyDescent="0.45">
      <c r="A116" s="55">
        <f>IF(B116="","",COUNTA($B$3:B116))</f>
        <v>114</v>
      </c>
      <c r="B116" s="17" t="str">
        <f>IF('تطوير البرمجيات'!B17="","",'تطوير البرمجيات'!B17)</f>
        <v>مشعل العمري</v>
      </c>
      <c r="C116" s="68" t="str">
        <f>IF('تطوير البرمجيات'!B17="","","تطوير البرمجيات")</f>
        <v>تطوير البرمجيات</v>
      </c>
      <c r="D116" s="64">
        <f>IF('تطوير البرمجيات'!B17="","",'تطوير البرمجيات'!O17)</f>
        <v>77.8</v>
      </c>
      <c r="E116" s="69" t="str">
        <f t="shared" si="6"/>
        <v>يفوق التوقعات</v>
      </c>
      <c r="F116" s="70">
        <f>IF(D116="","",RANK(D116,$D$3:$D$152)+COUNTIF($D$3:D116,D116)-1)</f>
        <v>56</v>
      </c>
      <c r="G116" s="71">
        <f t="shared" si="7"/>
        <v>77.801159999999996</v>
      </c>
    </row>
    <row r="117" spans="1:7" x14ac:dyDescent="0.45">
      <c r="A117" s="60">
        <f>IF(B117="","",COUNTA($B$3:B117))</f>
        <v>115</v>
      </c>
      <c r="B117" s="24" t="str">
        <f>IF('تطوير البرمجيات'!B18="","",'تطوير البرمجيات'!B18)</f>
        <v>سعود الزهراني</v>
      </c>
      <c r="C117" s="63" t="str">
        <f>IF('تطوير البرمجيات'!B18="","","تطوير البرمجيات")</f>
        <v>تطوير البرمجيات</v>
      </c>
      <c r="D117" s="64">
        <f>IF('تطوير البرمجيات'!B18="","",'تطوير البرمجيات'!O18)</f>
        <v>99.3</v>
      </c>
      <c r="E117" s="65" t="str">
        <f t="shared" si="6"/>
        <v>أداء متميز</v>
      </c>
      <c r="F117" s="66">
        <f>IF(D117="","",RANK(D117,$D$3:$D$152)+COUNTIF($D$3:D117,D117)-1)</f>
        <v>5</v>
      </c>
      <c r="G117" s="67">
        <f t="shared" si="7"/>
        <v>99.301169999999999</v>
      </c>
    </row>
    <row r="118" spans="1:7" x14ac:dyDescent="0.45">
      <c r="A118" s="55">
        <f>IF(B118="","",COUNTA($B$3:B118))</f>
        <v>116</v>
      </c>
      <c r="B118" s="17" t="str">
        <f>IF('تطوير البرمجيات'!B19="","",'تطوير البرمجيات'!B19)</f>
        <v>منيرة العنزي</v>
      </c>
      <c r="C118" s="68" t="str">
        <f>IF('تطوير البرمجيات'!B19="","","تطوير البرمجيات")</f>
        <v>تطوير البرمجيات</v>
      </c>
      <c r="D118" s="64">
        <f>IF('تطوير البرمجيات'!B19="","",'تطوير البرمجيات'!O19)</f>
        <v>81.8</v>
      </c>
      <c r="E118" s="69" t="str">
        <f t="shared" si="6"/>
        <v>يفوق التوقعات</v>
      </c>
      <c r="F118" s="70">
        <f>IF(D118="","",RANK(D118,$D$3:$D$152)+COUNTIF($D$3:D118,D118)-1)</f>
        <v>47</v>
      </c>
      <c r="G118" s="71">
        <f t="shared" si="7"/>
        <v>81.801180000000002</v>
      </c>
    </row>
    <row r="119" spans="1:7" x14ac:dyDescent="0.45">
      <c r="A119" s="60">
        <f>IF(B119="","",COUNTA($B$3:B119))</f>
        <v>117</v>
      </c>
      <c r="B119" s="24" t="str">
        <f>IF('تطوير البرمجيات'!B20="","",'تطوير البرمجيات'!B20)</f>
        <v>نورة الشهراني</v>
      </c>
      <c r="C119" s="63" t="str">
        <f>IF('تطوير البرمجيات'!B20="","","تطوير البرمجيات")</f>
        <v>تطوير البرمجيات</v>
      </c>
      <c r="D119" s="64">
        <f>IF('تطوير البرمجيات'!B20="","",'تطوير البرمجيات'!O20)</f>
        <v>86.5</v>
      </c>
      <c r="E119" s="65" t="str">
        <f t="shared" si="6"/>
        <v>يفوق التوقعات</v>
      </c>
      <c r="F119" s="66">
        <f>IF(D119="","",RANK(D119,$D$3:$D$152)+COUNTIF($D$3:D119,D119)-1)</f>
        <v>36</v>
      </c>
      <c r="G119" s="67">
        <f t="shared" si="7"/>
        <v>86.501189999999994</v>
      </c>
    </row>
    <row r="120" spans="1:7" x14ac:dyDescent="0.45">
      <c r="A120" s="55" t="str">
        <f>IF(B120="","",COUNTA($B$3:B120))</f>
        <v/>
      </c>
      <c r="B120" s="17" t="str">
        <f>IF('تطوير البرمجيات'!B21="","",'تطوير البرمجيات'!B21)</f>
        <v/>
      </c>
      <c r="C120" s="68" t="str">
        <f>IF('تطوير البرمجيات'!B21="","","تطوير البرمجيات")</f>
        <v/>
      </c>
      <c r="D120" s="64" t="str">
        <f>IF('تطوير البرمجيات'!B21="","",'تطوير البرمجيات'!O21)</f>
        <v/>
      </c>
      <c r="E120" s="69" t="str">
        <f t="shared" si="6"/>
        <v/>
      </c>
      <c r="F120" s="70" t="str">
        <f>IF(D120="","",RANK(D120,$D$3:$D$152)+COUNTIF($D$3:D120,D120)-1)</f>
        <v/>
      </c>
      <c r="G120" s="71" t="str">
        <f t="shared" si="7"/>
        <v/>
      </c>
    </row>
    <row r="121" spans="1:7" x14ac:dyDescent="0.45">
      <c r="A121" s="60" t="str">
        <f>IF(B121="","",COUNTA($B$3:B121))</f>
        <v/>
      </c>
      <c r="B121" s="24" t="str">
        <f>IF('تطوير البرمجيات'!B22="","",'تطوير البرمجيات'!B22)</f>
        <v/>
      </c>
      <c r="C121" s="63" t="str">
        <f>IF('تطوير البرمجيات'!B22="","","تطوير البرمجيات")</f>
        <v/>
      </c>
      <c r="D121" s="64" t="str">
        <f>IF('تطوير البرمجيات'!B22="","",'تطوير البرمجيات'!O22)</f>
        <v/>
      </c>
      <c r="E121" s="65" t="str">
        <f t="shared" si="6"/>
        <v/>
      </c>
      <c r="F121" s="66" t="str">
        <f>IF(D121="","",RANK(D121,$D$3:$D$152)+COUNTIF($D$3:D121,D121)-1)</f>
        <v/>
      </c>
      <c r="G121" s="67" t="str">
        <f t="shared" si="7"/>
        <v/>
      </c>
    </row>
    <row r="122" spans="1:7" x14ac:dyDescent="0.45">
      <c r="A122" s="55" t="str">
        <f>IF(B122="","",COUNTA($B$3:B122))</f>
        <v/>
      </c>
      <c r="B122" s="17" t="str">
        <f>IF('تطوير البرمجيات'!B23="","",'تطوير البرمجيات'!B23)</f>
        <v/>
      </c>
      <c r="C122" s="68" t="str">
        <f>IF('تطوير البرمجيات'!B23="","","تطوير البرمجيات")</f>
        <v/>
      </c>
      <c r="D122" s="64" t="str">
        <f>IF('تطوير البرمجيات'!B23="","",'تطوير البرمجيات'!O23)</f>
        <v/>
      </c>
      <c r="E122" s="69" t="str">
        <f t="shared" si="6"/>
        <v/>
      </c>
      <c r="F122" s="70" t="str">
        <f>IF(D122="","",RANK(D122,$D$3:$D$152)+COUNTIF($D$3:D122,D122)-1)</f>
        <v/>
      </c>
      <c r="G122" s="71" t="str">
        <f t="shared" si="7"/>
        <v/>
      </c>
    </row>
    <row r="123" spans="1:7" x14ac:dyDescent="0.45">
      <c r="A123" s="60" t="str">
        <f>IF(B123="","",COUNTA($B$3:B123))</f>
        <v/>
      </c>
      <c r="B123" s="24" t="str">
        <f>IF('تطوير البرمجيات'!B24="","",'تطوير البرمجيات'!B24)</f>
        <v/>
      </c>
      <c r="C123" s="63" t="str">
        <f>IF('تطوير البرمجيات'!B24="","","تطوير البرمجيات")</f>
        <v/>
      </c>
      <c r="D123" s="64" t="str">
        <f>IF('تطوير البرمجيات'!B24="","",'تطوير البرمجيات'!O24)</f>
        <v/>
      </c>
      <c r="E123" s="65" t="str">
        <f t="shared" si="6"/>
        <v/>
      </c>
      <c r="F123" s="66" t="str">
        <f>IF(D123="","",RANK(D123,$D$3:$D$152)+COUNTIF($D$3:D123,D123)-1)</f>
        <v/>
      </c>
      <c r="G123" s="67" t="str">
        <f t="shared" si="7"/>
        <v/>
      </c>
    </row>
    <row r="124" spans="1:7" x14ac:dyDescent="0.45">
      <c r="A124" s="55" t="str">
        <f>IF(B124="","",COUNTA($B$3:B124))</f>
        <v/>
      </c>
      <c r="B124" s="17" t="str">
        <f>IF('تطوير البرمجيات'!B25="","",'تطوير البرمجيات'!B25)</f>
        <v/>
      </c>
      <c r="C124" s="68" t="str">
        <f>IF('تطوير البرمجيات'!B25="","","تطوير البرمجيات")</f>
        <v/>
      </c>
      <c r="D124" s="64" t="str">
        <f>IF('تطوير البرمجيات'!B25="","",'تطوير البرمجيات'!O25)</f>
        <v/>
      </c>
      <c r="E124" s="69" t="str">
        <f t="shared" si="6"/>
        <v/>
      </c>
      <c r="F124" s="70" t="str">
        <f>IF(D124="","",RANK(D124,$D$3:$D$152)+COUNTIF($D$3:D124,D124)-1)</f>
        <v/>
      </c>
      <c r="G124" s="71" t="str">
        <f t="shared" si="7"/>
        <v/>
      </c>
    </row>
    <row r="125" spans="1:7" x14ac:dyDescent="0.45">
      <c r="A125" s="60" t="str">
        <f>IF(B125="","",COUNTA($B$3:B125))</f>
        <v/>
      </c>
      <c r="B125" s="24" t="str">
        <f>IF('تطوير البرمجيات'!B26="","",'تطوير البرمجيات'!B26)</f>
        <v/>
      </c>
      <c r="C125" s="63" t="str">
        <f>IF('تطوير البرمجيات'!B26="","","تطوير البرمجيات")</f>
        <v/>
      </c>
      <c r="D125" s="64" t="str">
        <f>IF('تطوير البرمجيات'!B26="","",'تطوير البرمجيات'!O26)</f>
        <v/>
      </c>
      <c r="E125" s="65" t="str">
        <f t="shared" si="6"/>
        <v/>
      </c>
      <c r="F125" s="66" t="str">
        <f>IF(D125="","",RANK(D125,$D$3:$D$152)+COUNTIF($D$3:D125,D125)-1)</f>
        <v/>
      </c>
      <c r="G125" s="67" t="str">
        <f t="shared" si="7"/>
        <v/>
      </c>
    </row>
    <row r="126" spans="1:7" x14ac:dyDescent="0.45">
      <c r="A126" s="55" t="str">
        <f>IF(B126="","",COUNTA($B$3:B126))</f>
        <v/>
      </c>
      <c r="B126" s="17" t="str">
        <f>IF('تطوير البرمجيات'!B27="","",'تطوير البرمجيات'!B27)</f>
        <v/>
      </c>
      <c r="C126" s="68" t="str">
        <f>IF('تطوير البرمجيات'!B27="","","تطوير البرمجيات")</f>
        <v/>
      </c>
      <c r="D126" s="64" t="str">
        <f>IF('تطوير البرمجيات'!B27="","",'تطوير البرمجيات'!O27)</f>
        <v/>
      </c>
      <c r="E126" s="69" t="str">
        <f t="shared" si="6"/>
        <v/>
      </c>
      <c r="F126" s="70" t="str">
        <f>IF(D126="","",RANK(D126,$D$3:$D$152)+COUNTIF($D$3:D126,D126)-1)</f>
        <v/>
      </c>
      <c r="G126" s="71" t="str">
        <f t="shared" si="7"/>
        <v/>
      </c>
    </row>
    <row r="127" spans="1:7" x14ac:dyDescent="0.45">
      <c r="A127" s="60" t="str">
        <f>IF(B127="","",COUNTA($B$3:B127))</f>
        <v/>
      </c>
      <c r="B127" s="24" t="str">
        <f>IF('تطوير البرمجيات'!B28="","",'تطوير البرمجيات'!B28)</f>
        <v/>
      </c>
      <c r="C127" s="63" t="str">
        <f>IF('تطوير البرمجيات'!B28="","","تطوير البرمجيات")</f>
        <v/>
      </c>
      <c r="D127" s="64" t="str">
        <f>IF('تطوير البرمجيات'!B28="","",'تطوير البرمجيات'!O28)</f>
        <v/>
      </c>
      <c r="E127" s="65" t="str">
        <f t="shared" si="6"/>
        <v/>
      </c>
      <c r="F127" s="66" t="str">
        <f>IF(D127="","",RANK(D127,$D$3:$D$152)+COUNTIF($D$3:D127,D127)-1)</f>
        <v/>
      </c>
      <c r="G127" s="67" t="str">
        <f t="shared" si="7"/>
        <v/>
      </c>
    </row>
    <row r="128" spans="1:7" x14ac:dyDescent="0.45">
      <c r="A128" s="55">
        <f>IF(B128="","",COUNTA($B$3:B128))</f>
        <v>126</v>
      </c>
      <c r="B128" s="17" t="str">
        <f>IF('المالية والمحاسبة'!B4="","",'المالية والمحاسبة'!B4)</f>
        <v>فيصل الدوسري</v>
      </c>
      <c r="C128" s="68" t="str">
        <f>IF('المالية والمحاسبة'!B4="","","المالية والمحاسبة")</f>
        <v>المالية والمحاسبة</v>
      </c>
      <c r="D128" s="64">
        <f>IF('المالية والمحاسبة'!B4="","",'المالية والمحاسبة'!O4)</f>
        <v>82.5</v>
      </c>
      <c r="E128" s="69" t="str">
        <f t="shared" si="6"/>
        <v>يفوق التوقعات</v>
      </c>
      <c r="F128" s="70">
        <f>IF(D128="","",RANK(D128,$D$3:$D$152)+COUNTIF($D$3:D128,D128)-1)</f>
        <v>45</v>
      </c>
      <c r="G128" s="71">
        <f t="shared" si="7"/>
        <v>82.501279999999994</v>
      </c>
    </row>
    <row r="129" spans="1:7" x14ac:dyDescent="0.45">
      <c r="A129" s="60">
        <f>IF(B129="","",COUNTA($B$3:B129))</f>
        <v>127</v>
      </c>
      <c r="B129" s="24" t="str">
        <f>IF('المالية والمحاسبة'!B5="","",'المالية والمحاسبة'!B5)</f>
        <v>لطيفة الدوسري</v>
      </c>
      <c r="C129" s="63" t="str">
        <f>IF('المالية والمحاسبة'!B5="","","المالية والمحاسبة")</f>
        <v>المالية والمحاسبة</v>
      </c>
      <c r="D129" s="64">
        <f>IF('المالية والمحاسبة'!B5="","",'المالية والمحاسبة'!O5)</f>
        <v>88.7</v>
      </c>
      <c r="E129" s="65" t="str">
        <f t="shared" si="6"/>
        <v>يفوق التوقعات</v>
      </c>
      <c r="F129" s="66">
        <f>IF(D129="","",RANK(D129,$D$3:$D$152)+COUNTIF($D$3:D129,D129)-1)</f>
        <v>28</v>
      </c>
      <c r="G129" s="67">
        <f t="shared" si="7"/>
        <v>88.70129</v>
      </c>
    </row>
    <row r="130" spans="1:7" x14ac:dyDescent="0.45">
      <c r="A130" s="55">
        <f>IF(B130="","",COUNTA($B$3:B130))</f>
        <v>128</v>
      </c>
      <c r="B130" s="17" t="str">
        <f>IF('المالية والمحاسبة'!B6="","",'المالية والمحاسبة'!B6)</f>
        <v>أمل المالكي</v>
      </c>
      <c r="C130" s="68" t="str">
        <f>IF('المالية والمحاسبة'!B6="","","المالية والمحاسبة")</f>
        <v>المالية والمحاسبة</v>
      </c>
      <c r="D130" s="64">
        <f>IF('المالية والمحاسبة'!B6="","",'المالية والمحاسبة'!O6)</f>
        <v>71.900000000000006</v>
      </c>
      <c r="E130" s="69" t="str">
        <f t="shared" si="6"/>
        <v>يلبّي التوقعات</v>
      </c>
      <c r="F130" s="70">
        <f>IF(D130="","",RANK(D130,$D$3:$D$152)+COUNTIF($D$3:D130,D130)-1)</f>
        <v>74</v>
      </c>
      <c r="G130" s="71">
        <f t="shared" si="7"/>
        <v>71.901300000000006</v>
      </c>
    </row>
    <row r="131" spans="1:7" x14ac:dyDescent="0.45">
      <c r="A131" s="60">
        <f>IF(B131="","",COUNTA($B$3:B131))</f>
        <v>129</v>
      </c>
      <c r="B131" s="24" t="str">
        <f>IF('المالية والمحاسبة'!B7="","",'المالية والمحاسبة'!B7)</f>
        <v>أسماء المالكي</v>
      </c>
      <c r="C131" s="63" t="str">
        <f>IF('المالية والمحاسبة'!B7="","","المالية والمحاسبة")</f>
        <v>المالية والمحاسبة</v>
      </c>
      <c r="D131" s="64">
        <f>IF('المالية والمحاسبة'!B7="","",'المالية والمحاسبة'!O7)</f>
        <v>79.8</v>
      </c>
      <c r="E131" s="65" t="str">
        <f t="shared" ref="E131:E162" si="8">IF(D131="","",IF(D131&gt;=90,"أداء متميز",IF(D131&gt;=75,"يفوق التوقعات",IF(D131&gt;=60,"يلبّي التوقعات",IF(D131&gt;=45,"يحتاج تطوير","غير مُرضٍ")))))</f>
        <v>يفوق التوقعات</v>
      </c>
      <c r="F131" s="66">
        <f>IF(D131="","",RANK(D131,$D$3:$D$152)+COUNTIF($D$3:D131,D131)-1)</f>
        <v>50</v>
      </c>
      <c r="G131" s="67">
        <f t="shared" ref="G131:G152" si="9">IF(D131="","",D131+ROW()/100000)</f>
        <v>79.801310000000001</v>
      </c>
    </row>
    <row r="132" spans="1:7" x14ac:dyDescent="0.45">
      <c r="A132" s="55">
        <f>IF(B132="","",COUNTA($B$3:B132))</f>
        <v>130</v>
      </c>
      <c r="B132" s="17" t="str">
        <f>IF('المالية والمحاسبة'!B8="","",'المالية والمحاسبة'!B8)</f>
        <v>ناصر الشهراني</v>
      </c>
      <c r="C132" s="68" t="str">
        <f>IF('المالية والمحاسبة'!B8="","","المالية والمحاسبة")</f>
        <v>المالية والمحاسبة</v>
      </c>
      <c r="D132" s="64">
        <f>IF('المالية والمحاسبة'!B8="","",'المالية والمحاسبة'!O8)</f>
        <v>91.6</v>
      </c>
      <c r="E132" s="69" t="str">
        <f t="shared" si="8"/>
        <v>أداء متميز</v>
      </c>
      <c r="F132" s="70">
        <f>IF(D132="","",RANK(D132,$D$3:$D$152)+COUNTIF($D$3:D132,D132)-1)</f>
        <v>22</v>
      </c>
      <c r="G132" s="71">
        <f t="shared" si="9"/>
        <v>91.601320000000001</v>
      </c>
    </row>
    <row r="133" spans="1:7" x14ac:dyDescent="0.45">
      <c r="A133" s="60">
        <f>IF(B133="","",COUNTA($B$3:B133))</f>
        <v>131</v>
      </c>
      <c r="B133" s="24" t="str">
        <f>IF('المالية والمحاسبة'!B9="","",'المالية والمحاسبة'!B9)</f>
        <v>العنود الجهني</v>
      </c>
      <c r="C133" s="63" t="str">
        <f>IF('المالية والمحاسبة'!B9="","","المالية والمحاسبة")</f>
        <v>المالية والمحاسبة</v>
      </c>
      <c r="D133" s="64">
        <f>IF('المالية والمحاسبة'!B9="","",'المالية والمحاسبة'!O9)</f>
        <v>51.8</v>
      </c>
      <c r="E133" s="65" t="str">
        <f t="shared" si="8"/>
        <v>يحتاج تطوير</v>
      </c>
      <c r="F133" s="66">
        <f>IF(D133="","",RANK(D133,$D$3:$D$152)+COUNTIF($D$3:D133,D133)-1)</f>
        <v>100</v>
      </c>
      <c r="G133" s="67">
        <f t="shared" si="9"/>
        <v>51.80133</v>
      </c>
    </row>
    <row r="134" spans="1:7" x14ac:dyDescent="0.45">
      <c r="A134" s="55">
        <f>IF(B134="","",COUNTA($B$3:B134))</f>
        <v>132</v>
      </c>
      <c r="B134" s="17" t="str">
        <f>IF('المالية والمحاسبة'!B10="","",'المالية والمحاسبة'!B10)</f>
        <v>جنى الزائدي</v>
      </c>
      <c r="C134" s="68" t="str">
        <f>IF('المالية والمحاسبة'!B10="","","المالية والمحاسبة")</f>
        <v>المالية والمحاسبة</v>
      </c>
      <c r="D134" s="64">
        <f>IF('المالية والمحاسبة'!B10="","",'المالية والمحاسبة'!O10)</f>
        <v>61.2</v>
      </c>
      <c r="E134" s="69" t="str">
        <f t="shared" si="8"/>
        <v>يلبّي التوقعات</v>
      </c>
      <c r="F134" s="70">
        <f>IF(D134="","",RANK(D134,$D$3:$D$152)+COUNTIF($D$3:D134,D134)-1)</f>
        <v>92</v>
      </c>
      <c r="G134" s="71">
        <f t="shared" si="9"/>
        <v>61.201340000000002</v>
      </c>
    </row>
    <row r="135" spans="1:7" x14ac:dyDescent="0.45">
      <c r="A135" s="60">
        <f>IF(B135="","",COUNTA($B$3:B135))</f>
        <v>133</v>
      </c>
      <c r="B135" s="24" t="str">
        <f>IF('المالية والمحاسبة'!B11="","",'المالية والمحاسبة'!B11)</f>
        <v>عبدالله العمري</v>
      </c>
      <c r="C135" s="63" t="str">
        <f>IF('المالية والمحاسبة'!B11="","","المالية والمحاسبة")</f>
        <v>المالية والمحاسبة</v>
      </c>
      <c r="D135" s="64">
        <f>IF('المالية والمحاسبة'!B11="","",'المالية والمحاسبة'!O11)</f>
        <v>76.099999999999994</v>
      </c>
      <c r="E135" s="65" t="str">
        <f t="shared" si="8"/>
        <v>يفوق التوقعات</v>
      </c>
      <c r="F135" s="66">
        <f>IF(D135="","",RANK(D135,$D$3:$D$152)+COUNTIF($D$3:D135,D135)-1)</f>
        <v>63</v>
      </c>
      <c r="G135" s="67">
        <f t="shared" si="9"/>
        <v>76.101349999999996</v>
      </c>
    </row>
    <row r="136" spans="1:7" x14ac:dyDescent="0.45">
      <c r="A136" s="55">
        <f>IF(B136="","",COUNTA($B$3:B136))</f>
        <v>134</v>
      </c>
      <c r="B136" s="17" t="str">
        <f>IF('المالية والمحاسبة'!B12="","",'المالية والمحاسبة'!B12)</f>
        <v>شهد القحطاني</v>
      </c>
      <c r="C136" s="68" t="str">
        <f>IF('المالية والمحاسبة'!B12="","","المالية والمحاسبة")</f>
        <v>المالية والمحاسبة</v>
      </c>
      <c r="D136" s="64">
        <f>IF('المالية والمحاسبة'!B12="","",'المالية والمحاسبة'!O12)</f>
        <v>48.1</v>
      </c>
      <c r="E136" s="69" t="str">
        <f t="shared" si="8"/>
        <v>يحتاج تطوير</v>
      </c>
      <c r="F136" s="70">
        <f>IF(D136="","",RANK(D136,$D$3:$D$152)+COUNTIF($D$3:D136,D136)-1)</f>
        <v>102</v>
      </c>
      <c r="G136" s="71">
        <f t="shared" si="9"/>
        <v>48.10136</v>
      </c>
    </row>
    <row r="137" spans="1:7" x14ac:dyDescent="0.45">
      <c r="A137" s="60">
        <f>IF(B137="","",COUNTA($B$3:B137))</f>
        <v>135</v>
      </c>
      <c r="B137" s="24" t="str">
        <f>IF('المالية والمحاسبة'!B13="","",'المالية والمحاسبة'!B13)</f>
        <v>وليد البقمي</v>
      </c>
      <c r="C137" s="63" t="str">
        <f>IF('المالية والمحاسبة'!B13="","","المالية والمحاسبة")</f>
        <v>المالية والمحاسبة</v>
      </c>
      <c r="D137" s="64">
        <f>IF('المالية والمحاسبة'!B13="","",'المالية والمحاسبة'!O13)</f>
        <v>71.400000000000006</v>
      </c>
      <c r="E137" s="65" t="str">
        <f t="shared" si="8"/>
        <v>يلبّي التوقعات</v>
      </c>
      <c r="F137" s="66">
        <f>IF(D137="","",RANK(D137,$D$3:$D$152)+COUNTIF($D$3:D137,D137)-1)</f>
        <v>75</v>
      </c>
      <c r="G137" s="67">
        <f t="shared" si="9"/>
        <v>71.40137</v>
      </c>
    </row>
    <row r="138" spans="1:7" x14ac:dyDescent="0.45">
      <c r="A138" s="55">
        <f>IF(B138="","",COUNTA($B$3:B138))</f>
        <v>136</v>
      </c>
      <c r="B138" s="17" t="str">
        <f>IF('المالية والمحاسبة'!B14="","",'المالية والمحاسبة'!B14)</f>
        <v>العنود الغامدي</v>
      </c>
      <c r="C138" s="68" t="str">
        <f>IF('المالية والمحاسبة'!B14="","","المالية والمحاسبة")</f>
        <v>المالية والمحاسبة</v>
      </c>
      <c r="D138" s="64">
        <f>IF('المالية والمحاسبة'!B14="","",'المالية والمحاسبة'!O14)</f>
        <v>88.6</v>
      </c>
      <c r="E138" s="69" t="str">
        <f t="shared" si="8"/>
        <v>يفوق التوقعات</v>
      </c>
      <c r="F138" s="70">
        <f>IF(D138="","",RANK(D138,$D$3:$D$152)+COUNTIF($D$3:D138,D138)-1)</f>
        <v>30</v>
      </c>
      <c r="G138" s="71">
        <f t="shared" si="9"/>
        <v>88.601379999999992</v>
      </c>
    </row>
    <row r="139" spans="1:7" x14ac:dyDescent="0.45">
      <c r="A139" s="60">
        <f>IF(B139="","",COUNTA($B$3:B139))</f>
        <v>137</v>
      </c>
      <c r="B139" s="24" t="str">
        <f>IF('المالية والمحاسبة'!B15="","",'المالية والمحاسبة'!B15)</f>
        <v>العنود الشهراني</v>
      </c>
      <c r="C139" s="63" t="str">
        <f>IF('المالية والمحاسبة'!B15="","","المالية والمحاسبة")</f>
        <v>المالية والمحاسبة</v>
      </c>
      <c r="D139" s="64">
        <f>IF('المالية والمحاسبة'!B15="","",'المالية والمحاسبة'!O15)</f>
        <v>95</v>
      </c>
      <c r="E139" s="65" t="str">
        <f t="shared" si="8"/>
        <v>أداء متميز</v>
      </c>
      <c r="F139" s="66">
        <f>IF(D139="","",RANK(D139,$D$3:$D$152)+COUNTIF($D$3:D139,D139)-1)</f>
        <v>17</v>
      </c>
      <c r="G139" s="67">
        <f t="shared" si="9"/>
        <v>95.001390000000001</v>
      </c>
    </row>
    <row r="140" spans="1:7" x14ac:dyDescent="0.45">
      <c r="A140" s="55">
        <f>IF(B140="","",COUNTA($B$3:B140))</f>
        <v>138</v>
      </c>
      <c r="B140" s="17" t="str">
        <f>IF('المالية والمحاسبة'!B16="","",'المالية والمحاسبة'!B16)</f>
        <v>وعد الزائدي</v>
      </c>
      <c r="C140" s="68" t="str">
        <f>IF('المالية والمحاسبة'!B16="","","المالية والمحاسبة")</f>
        <v>المالية والمحاسبة</v>
      </c>
      <c r="D140" s="64">
        <f>IF('المالية والمحاسبة'!B16="","",'المالية والمحاسبة'!O16)</f>
        <v>92.8</v>
      </c>
      <c r="E140" s="69" t="str">
        <f t="shared" si="8"/>
        <v>أداء متميز</v>
      </c>
      <c r="F140" s="70">
        <f>IF(D140="","",RANK(D140,$D$3:$D$152)+COUNTIF($D$3:D140,D140)-1)</f>
        <v>19</v>
      </c>
      <c r="G140" s="71">
        <f t="shared" si="9"/>
        <v>92.801400000000001</v>
      </c>
    </row>
    <row r="141" spans="1:7" x14ac:dyDescent="0.45">
      <c r="A141" s="60">
        <f>IF(B141="","",COUNTA($B$3:B141))</f>
        <v>139</v>
      </c>
      <c r="B141" s="24" t="str">
        <f>IF('المالية والمحاسبة'!B17="","",'المالية والمحاسبة'!B17)</f>
        <v>يزيد البقمي</v>
      </c>
      <c r="C141" s="63" t="str">
        <f>IF('المالية والمحاسبة'!B17="","","المالية والمحاسبة")</f>
        <v>المالية والمحاسبة</v>
      </c>
      <c r="D141" s="64">
        <f>IF('المالية والمحاسبة'!B17="","",'المالية والمحاسبة'!O17)</f>
        <v>95.3</v>
      </c>
      <c r="E141" s="65" t="str">
        <f t="shared" si="8"/>
        <v>أداء متميز</v>
      </c>
      <c r="F141" s="66">
        <f>IF(D141="","",RANK(D141,$D$3:$D$152)+COUNTIF($D$3:D141,D141)-1)</f>
        <v>15</v>
      </c>
      <c r="G141" s="67">
        <f t="shared" si="9"/>
        <v>95.301410000000004</v>
      </c>
    </row>
    <row r="142" spans="1:7" x14ac:dyDescent="0.45">
      <c r="A142" s="55">
        <f>IF(B142="","",COUNTA($B$3:B142))</f>
        <v>140</v>
      </c>
      <c r="B142" s="17" t="str">
        <f>IF('المالية والمحاسبة'!B18="","",'المالية والمحاسبة'!B18)</f>
        <v>لمى القحطاني</v>
      </c>
      <c r="C142" s="68" t="str">
        <f>IF('المالية والمحاسبة'!B18="","","المالية والمحاسبة")</f>
        <v>المالية والمحاسبة</v>
      </c>
      <c r="D142" s="64">
        <f>IF('المالية والمحاسبة'!B18="","",'المالية والمحاسبة'!O18)</f>
        <v>90.8</v>
      </c>
      <c r="E142" s="69" t="str">
        <f t="shared" si="8"/>
        <v>أداء متميز</v>
      </c>
      <c r="F142" s="70">
        <f>IF(D142="","",RANK(D142,$D$3:$D$152)+COUNTIF($D$3:D142,D142)-1)</f>
        <v>24</v>
      </c>
      <c r="G142" s="71">
        <f t="shared" si="9"/>
        <v>90.801419999999993</v>
      </c>
    </row>
    <row r="143" spans="1:7" x14ac:dyDescent="0.45">
      <c r="A143" s="60">
        <f>IF(B143="","",COUNTA($B$3:B143))</f>
        <v>141</v>
      </c>
      <c r="B143" s="24" t="str">
        <f>IF('المالية والمحاسبة'!B19="","",'المالية والمحاسبة'!B19)</f>
        <v>شهد الحربي</v>
      </c>
      <c r="C143" s="63" t="str">
        <f>IF('المالية والمحاسبة'!B19="","","المالية والمحاسبة")</f>
        <v>المالية والمحاسبة</v>
      </c>
      <c r="D143" s="64">
        <f>IF('المالية والمحاسبة'!B19="","",'المالية والمحاسبة'!O19)</f>
        <v>56.1</v>
      </c>
      <c r="E143" s="65" t="str">
        <f t="shared" si="8"/>
        <v>يحتاج تطوير</v>
      </c>
      <c r="F143" s="66">
        <f>IF(D143="","",RANK(D143,$D$3:$D$152)+COUNTIF($D$3:D143,D143)-1)</f>
        <v>98</v>
      </c>
      <c r="G143" s="67">
        <f t="shared" si="9"/>
        <v>56.101430000000001</v>
      </c>
    </row>
    <row r="144" spans="1:7" x14ac:dyDescent="0.45">
      <c r="A144" s="55" t="str">
        <f>IF(B144="","",COUNTA($B$3:B144))</f>
        <v/>
      </c>
      <c r="B144" s="17" t="str">
        <f>IF('المالية والمحاسبة'!B20="","",'المالية والمحاسبة'!B20)</f>
        <v/>
      </c>
      <c r="C144" s="68" t="str">
        <f>IF('المالية والمحاسبة'!B20="","","المالية والمحاسبة")</f>
        <v/>
      </c>
      <c r="D144" s="64" t="str">
        <f>IF('المالية والمحاسبة'!B20="","",'المالية والمحاسبة'!O20)</f>
        <v/>
      </c>
      <c r="E144" s="69" t="str">
        <f t="shared" si="8"/>
        <v/>
      </c>
      <c r="F144" s="70" t="str">
        <f>IF(D144="","",RANK(D144,$D$3:$D$152)+COUNTIF($D$3:D144,D144)-1)</f>
        <v/>
      </c>
      <c r="G144" s="71" t="str">
        <f t="shared" si="9"/>
        <v/>
      </c>
    </row>
    <row r="145" spans="1:7" x14ac:dyDescent="0.45">
      <c r="A145" s="60" t="str">
        <f>IF(B145="","",COUNTA($B$3:B145))</f>
        <v/>
      </c>
      <c r="B145" s="24" t="str">
        <f>IF('المالية والمحاسبة'!B21="","",'المالية والمحاسبة'!B21)</f>
        <v/>
      </c>
      <c r="C145" s="63" t="str">
        <f>IF('المالية والمحاسبة'!B21="","","المالية والمحاسبة")</f>
        <v/>
      </c>
      <c r="D145" s="64" t="str">
        <f>IF('المالية والمحاسبة'!B21="","",'المالية والمحاسبة'!O21)</f>
        <v/>
      </c>
      <c r="E145" s="65" t="str">
        <f t="shared" si="8"/>
        <v/>
      </c>
      <c r="F145" s="66" t="str">
        <f>IF(D145="","",RANK(D145,$D$3:$D$152)+COUNTIF($D$3:D145,D145)-1)</f>
        <v/>
      </c>
      <c r="G145" s="67" t="str">
        <f t="shared" si="9"/>
        <v/>
      </c>
    </row>
    <row r="146" spans="1:7" x14ac:dyDescent="0.45">
      <c r="A146" s="55" t="str">
        <f>IF(B146="","",COUNTA($B$3:B146))</f>
        <v/>
      </c>
      <c r="B146" s="17" t="str">
        <f>IF('المالية والمحاسبة'!B22="","",'المالية والمحاسبة'!B22)</f>
        <v/>
      </c>
      <c r="C146" s="68" t="str">
        <f>IF('المالية والمحاسبة'!B22="","","المالية والمحاسبة")</f>
        <v/>
      </c>
      <c r="D146" s="64" t="str">
        <f>IF('المالية والمحاسبة'!B22="","",'المالية والمحاسبة'!O22)</f>
        <v/>
      </c>
      <c r="E146" s="69" t="str">
        <f t="shared" si="8"/>
        <v/>
      </c>
      <c r="F146" s="70" t="str">
        <f>IF(D146="","",RANK(D146,$D$3:$D$152)+COUNTIF($D$3:D146,D146)-1)</f>
        <v/>
      </c>
      <c r="G146" s="71" t="str">
        <f t="shared" si="9"/>
        <v/>
      </c>
    </row>
    <row r="147" spans="1:7" x14ac:dyDescent="0.45">
      <c r="A147" s="60" t="str">
        <f>IF(B147="","",COUNTA($B$3:B147))</f>
        <v/>
      </c>
      <c r="B147" s="24" t="str">
        <f>IF('المالية والمحاسبة'!B23="","",'المالية والمحاسبة'!B23)</f>
        <v/>
      </c>
      <c r="C147" s="63" t="str">
        <f>IF('المالية والمحاسبة'!B23="","","المالية والمحاسبة")</f>
        <v/>
      </c>
      <c r="D147" s="64" t="str">
        <f>IF('المالية والمحاسبة'!B23="","",'المالية والمحاسبة'!O23)</f>
        <v/>
      </c>
      <c r="E147" s="65" t="str">
        <f t="shared" si="8"/>
        <v/>
      </c>
      <c r="F147" s="66" t="str">
        <f>IF(D147="","",RANK(D147,$D$3:$D$152)+COUNTIF($D$3:D147,D147)-1)</f>
        <v/>
      </c>
      <c r="G147" s="67" t="str">
        <f t="shared" si="9"/>
        <v/>
      </c>
    </row>
    <row r="148" spans="1:7" x14ac:dyDescent="0.45">
      <c r="A148" s="55" t="str">
        <f>IF(B148="","",COUNTA($B$3:B148))</f>
        <v/>
      </c>
      <c r="B148" s="17" t="str">
        <f>IF('المالية والمحاسبة'!B24="","",'المالية والمحاسبة'!B24)</f>
        <v/>
      </c>
      <c r="C148" s="68" t="str">
        <f>IF('المالية والمحاسبة'!B24="","","المالية والمحاسبة")</f>
        <v/>
      </c>
      <c r="D148" s="64" t="str">
        <f>IF('المالية والمحاسبة'!B24="","",'المالية والمحاسبة'!O24)</f>
        <v/>
      </c>
      <c r="E148" s="69" t="str">
        <f t="shared" si="8"/>
        <v/>
      </c>
      <c r="F148" s="70" t="str">
        <f>IF(D148="","",RANK(D148,$D$3:$D$152)+COUNTIF($D$3:D148,D148)-1)</f>
        <v/>
      </c>
      <c r="G148" s="71" t="str">
        <f t="shared" si="9"/>
        <v/>
      </c>
    </row>
    <row r="149" spans="1:7" x14ac:dyDescent="0.45">
      <c r="A149" s="60" t="str">
        <f>IF(B149="","",COUNTA($B$3:B149))</f>
        <v/>
      </c>
      <c r="B149" s="24" t="str">
        <f>IF('المالية والمحاسبة'!B25="","",'المالية والمحاسبة'!B25)</f>
        <v/>
      </c>
      <c r="C149" s="63" t="str">
        <f>IF('المالية والمحاسبة'!B25="","","المالية والمحاسبة")</f>
        <v/>
      </c>
      <c r="D149" s="64" t="str">
        <f>IF('المالية والمحاسبة'!B25="","",'المالية والمحاسبة'!O25)</f>
        <v/>
      </c>
      <c r="E149" s="65" t="str">
        <f t="shared" si="8"/>
        <v/>
      </c>
      <c r="F149" s="66" t="str">
        <f>IF(D149="","",RANK(D149,$D$3:$D$152)+COUNTIF($D$3:D149,D149)-1)</f>
        <v/>
      </c>
      <c r="G149" s="67" t="str">
        <f t="shared" si="9"/>
        <v/>
      </c>
    </row>
    <row r="150" spans="1:7" x14ac:dyDescent="0.45">
      <c r="A150" s="55" t="str">
        <f>IF(B150="","",COUNTA($B$3:B150))</f>
        <v/>
      </c>
      <c r="B150" s="17" t="str">
        <f>IF('المالية والمحاسبة'!B26="","",'المالية والمحاسبة'!B26)</f>
        <v/>
      </c>
      <c r="C150" s="68" t="str">
        <f>IF('المالية والمحاسبة'!B26="","","المالية والمحاسبة")</f>
        <v/>
      </c>
      <c r="D150" s="64" t="str">
        <f>IF('المالية والمحاسبة'!B26="","",'المالية والمحاسبة'!O26)</f>
        <v/>
      </c>
      <c r="E150" s="69" t="str">
        <f t="shared" si="8"/>
        <v/>
      </c>
      <c r="F150" s="70" t="str">
        <f>IF(D150="","",RANK(D150,$D$3:$D$152)+COUNTIF($D$3:D150,D150)-1)</f>
        <v/>
      </c>
      <c r="G150" s="71" t="str">
        <f t="shared" si="9"/>
        <v/>
      </c>
    </row>
    <row r="151" spans="1:7" x14ac:dyDescent="0.45">
      <c r="A151" s="60" t="str">
        <f>IF(B151="","",COUNTA($B$3:B151))</f>
        <v/>
      </c>
      <c r="B151" s="24" t="str">
        <f>IF('المالية والمحاسبة'!B27="","",'المالية والمحاسبة'!B27)</f>
        <v/>
      </c>
      <c r="C151" s="63" t="str">
        <f>IF('المالية والمحاسبة'!B27="","","المالية والمحاسبة")</f>
        <v/>
      </c>
      <c r="D151" s="64" t="str">
        <f>IF('المالية والمحاسبة'!B27="","",'المالية والمحاسبة'!O27)</f>
        <v/>
      </c>
      <c r="E151" s="65" t="str">
        <f t="shared" si="8"/>
        <v/>
      </c>
      <c r="F151" s="66" t="str">
        <f>IF(D151="","",RANK(D151,$D$3:$D$152)+COUNTIF($D$3:D151,D151)-1)</f>
        <v/>
      </c>
      <c r="G151" s="67" t="str">
        <f t="shared" si="9"/>
        <v/>
      </c>
    </row>
    <row r="152" spans="1:7" x14ac:dyDescent="0.45">
      <c r="A152" s="55" t="str">
        <f>IF(B152="","",COUNTA($B$3:B152))</f>
        <v/>
      </c>
      <c r="B152" s="17" t="str">
        <f>IF('المالية والمحاسبة'!B28="","",'المالية والمحاسبة'!B28)</f>
        <v/>
      </c>
      <c r="C152" s="68" t="str">
        <f>IF('المالية والمحاسبة'!B28="","","المالية والمحاسبة")</f>
        <v/>
      </c>
      <c r="D152" s="64" t="str">
        <f>IF('المالية والمحاسبة'!B28="","",'المالية والمحاسبة'!O28)</f>
        <v/>
      </c>
      <c r="E152" s="69" t="str">
        <f t="shared" si="8"/>
        <v/>
      </c>
      <c r="F152" s="70" t="str">
        <f>IF(D152="","",RANK(D152,$D$3:$D$152)+COUNTIF($D$3:D152,D152)-1)</f>
        <v/>
      </c>
      <c r="G152" s="71" t="str">
        <f t="shared" si="9"/>
        <v/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rightToLeft="1" zoomScaleNormal="100" workbookViewId="0">
      <selection activeCell="K17" sqref="K17"/>
    </sheetView>
  </sheetViews>
  <sheetFormatPr defaultColWidth="8.6640625" defaultRowHeight="14.25" x14ac:dyDescent="0.45"/>
  <sheetData>
    <row r="1" spans="1:6" x14ac:dyDescent="0.45">
      <c r="A1" s="72" t="s">
        <v>9</v>
      </c>
      <c r="B1" s="72" t="s">
        <v>10</v>
      </c>
      <c r="C1" s="72" t="s">
        <v>11</v>
      </c>
      <c r="E1" s="72" t="s">
        <v>246</v>
      </c>
      <c r="F1" s="72" t="s">
        <v>11</v>
      </c>
    </row>
    <row r="2" spans="1:6" x14ac:dyDescent="0.45">
      <c r="A2" s="73" t="s">
        <v>15</v>
      </c>
      <c r="B2">
        <f>'التسويق والمبيعات'!O30</f>
        <v>80.400000000000006</v>
      </c>
      <c r="C2">
        <f>COUNTA('التسويق والمبيعات'!B4:B28)</f>
        <v>18</v>
      </c>
      <c r="E2" s="73" t="s">
        <v>247</v>
      </c>
      <c r="F2">
        <f>COUNTIFS('قاعدة البيانات'!$D$3:$D$152,"&gt;="&amp;90,'قاعدة البيانات'!$D$3:$D$152,"&lt;="&amp;200)</f>
        <v>25</v>
      </c>
    </row>
    <row r="3" spans="1:6" x14ac:dyDescent="0.45">
      <c r="A3" s="73" t="s">
        <v>16</v>
      </c>
      <c r="B3">
        <f>'استقطاب المواهب'!O30</f>
        <v>75.2</v>
      </c>
      <c r="C3">
        <f>COUNTA('استقطاب المواهب'!B4:B28)</f>
        <v>18</v>
      </c>
      <c r="E3" s="73" t="s">
        <v>248</v>
      </c>
      <c r="F3">
        <f>COUNTIFS('قاعدة البيانات'!$D$3:$D$152,"&gt;="&amp;75,'قاعدة البيانات'!$D$3:$D$152,"&lt;="&amp;89.999)</f>
        <v>42</v>
      </c>
    </row>
    <row r="4" spans="1:6" x14ac:dyDescent="0.45">
      <c r="A4" s="73" t="s">
        <v>17</v>
      </c>
      <c r="B4">
        <f>'التعلم والتطوير'!O30</f>
        <v>75.8</v>
      </c>
      <c r="C4">
        <f>COUNTA('التعلم والتطوير'!B4:B28)</f>
        <v>18</v>
      </c>
      <c r="E4" s="73" t="s">
        <v>249</v>
      </c>
      <c r="F4">
        <f>COUNTIFS('قاعدة البيانات'!$D$3:$D$152,"&gt;="&amp;60,'قاعدة البيانات'!$D$3:$D$152,"&lt;="&amp;74.999)</f>
        <v>25</v>
      </c>
    </row>
    <row r="5" spans="1:6" x14ac:dyDescent="0.45">
      <c r="A5" s="73" t="s">
        <v>18</v>
      </c>
      <c r="B5">
        <f>'نجاح العملاء'!O30</f>
        <v>77.599999999999994</v>
      </c>
      <c r="C5">
        <f>COUNTA('نجاح العملاء'!B4:B28)</f>
        <v>18</v>
      </c>
      <c r="E5" s="73" t="s">
        <v>250</v>
      </c>
      <c r="F5">
        <f>COUNTIFS('قاعدة البيانات'!$D$3:$D$152,"&gt;="&amp;45,'قاعدة البيانات'!$D$3:$D$152,"&lt;="&amp;59.999)</f>
        <v>11</v>
      </c>
    </row>
    <row r="6" spans="1:6" x14ac:dyDescent="0.45">
      <c r="A6" s="73" t="s">
        <v>19</v>
      </c>
      <c r="B6">
        <f>'تطوير البرمجيات'!O30</f>
        <v>84.3</v>
      </c>
      <c r="C6">
        <f>COUNTA('تطوير البرمجيات'!B4:B28)</f>
        <v>17</v>
      </c>
      <c r="E6" s="73" t="s">
        <v>251</v>
      </c>
      <c r="F6">
        <f>COUNTIFS('قاعدة البيانات'!$D$3:$D$152,"&gt;="&amp;-1,'قاعدة البيانات'!$D$3:$D$152,"&lt;="&amp;44.999)</f>
        <v>2</v>
      </c>
    </row>
    <row r="7" spans="1:6" x14ac:dyDescent="0.45">
      <c r="A7" s="73" t="s">
        <v>20</v>
      </c>
      <c r="B7">
        <f>'المالية والمحاسبة'!O30</f>
        <v>77.599999999999994</v>
      </c>
      <c r="C7">
        <f>COUNTA('المالية والمحاسبة'!B4:B28)</f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11</vt:i4>
      </vt:variant>
    </vt:vector>
  </HeadingPairs>
  <TitlesOfParts>
    <vt:vector size="11" baseType="lpstr">
      <vt:lpstr>لوحة القيادة</vt:lpstr>
      <vt:lpstr>المنهجية</vt:lpstr>
      <vt:lpstr>دليل المؤشرات</vt:lpstr>
      <vt:lpstr>التسويق والمبيعات</vt:lpstr>
      <vt:lpstr>استقطاب المواهب</vt:lpstr>
      <vt:lpstr>التعلم والتطوير</vt:lpstr>
      <vt:lpstr>نجاح العملاء</vt:lpstr>
      <vt:lpstr>تطوير البرمجيات</vt:lpstr>
      <vt:lpstr>المالية والمحاسبة</vt:lpstr>
      <vt:lpstr>قاعدة البيانات</vt:lpstr>
      <vt:lpstr>بيانات الرسوم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samy bobol</cp:lastModifiedBy>
  <cp:revision>2</cp:revision>
  <dcterms:created xsi:type="dcterms:W3CDTF">2026-06-11T00:19:38Z</dcterms:created>
  <dcterms:modified xsi:type="dcterms:W3CDTF">2026-06-11T11:16:47Z</dcterms:modified>
  <dc:language>en-US</dc:language>
</cp:coreProperties>
</file>